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7E3D94C7-4D83-4D8F-BFBA-F271593C86C6}" xr6:coauthVersionLast="47" xr6:coauthVersionMax="47" xr10:uidLastSave="{00000000-0000-0000-0000-000000000000}"/>
  <bookViews>
    <workbookView xWindow="-120" yWindow="-120" windowWidth="29040" windowHeight="15720" activeTab="4" xr2:uid="{9C5763AB-1960-4E0F-874F-DB320987F79F}"/>
  </bookViews>
  <sheets>
    <sheet name="Asset Register" sheetId="1" r:id="rId1"/>
    <sheet name="Risk Register" sheetId="5" r:id="rId2"/>
    <sheet name="Instrukce-AR" sheetId="2" r:id="rId3"/>
    <sheet name="Instrukce-RR" sheetId="6" r:id="rId4"/>
    <sheet name="Legenda_AR" sheetId="4" r:id="rId5"/>
    <sheet name="Legenda_RR" sheetId="9" r:id="rId6"/>
    <sheet name="Číselníky-AR" sheetId="3" r:id="rId7"/>
    <sheet name="Číselníky-RR" sheetId="7" r:id="rId8"/>
    <sheet name="_RiskMatrix" sheetId="8" state="hidden" r:id="rId9"/>
  </sheets>
  <definedNames>
    <definedName name="_xlnm._FilterDatabase" localSheetId="0" hidden="1">'Asset Register'!$H$2:$H$2</definedName>
    <definedName name="Aktualizace" localSheetId="5">TabulkaAktualizace[Aktualizace]</definedName>
    <definedName name="Aktualizace">TabulkaAktualizace[Aktualizace]</definedName>
    <definedName name="CIA" localSheetId="5">TabulkaCIA[CIA]</definedName>
    <definedName name="CIA">TabulkaCIA[CIA]</definedName>
    <definedName name="Dopad" localSheetId="5">TabulkaDopad[Dopad]</definedName>
    <definedName name="Dopad">TabulkaDopad[Dopad]</definedName>
    <definedName name="Kategorie" localSheetId="5">TabulkaKategorie[Kategorie]</definedName>
    <definedName name="Kategorie">TabulkaKategorie[Kategorie]</definedName>
    <definedName name="Oddělení" localSheetId="5">TabulkaOddělení[Oddělení]</definedName>
    <definedName name="Oddělení">TabulkaOddělení[Oddělení]</definedName>
    <definedName name="Přístup" localSheetId="5">TabulkaPřístup[Přístup]</definedName>
    <definedName name="Přístup">TabulkaPřístup[Přístup]</definedName>
    <definedName name="Riziko" localSheetId="5">TabulkaDopad[Riziko]</definedName>
    <definedName name="Riziko">TabulkaDopad[Riziko]</definedName>
    <definedName name="Síť" localSheetId="5">TabulkaSíť[Síť]</definedName>
    <definedName name="Síť">TabulkaSíť[Síť]</definedName>
    <definedName name="Stav" localSheetId="5">TabulkaStav[Stav]</definedName>
    <definedName name="Stav">TabulkaStav[Stav]</definedName>
    <definedName name="StavAktiva" localSheetId="5">TabulkaStavAktiva[StavAktiva]</definedName>
    <definedName name="StavAktiva">TabulkaStavAktiva[StavAktiva]</definedName>
    <definedName name="TypAktiva" localSheetId="5">TabulkaTypAktiva[Typ aktiva]</definedName>
    <definedName name="TypAktiva">TabulkaTypAktiva[Typ aktiva]</definedName>
    <definedName name="TypPoznámky" localSheetId="5">TabulkaPoznámka[TypPoznámky]</definedName>
    <definedName name="TypPoznámky">TabulkaPoznámka[TypPoznámky]</definedName>
    <definedName name="Zálohování" localSheetId="5">TabulkaZálohování[Zálohování]</definedName>
    <definedName name="Zálohování">TabulkaZálohování[Zálohování]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J17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2" i="5"/>
  <c r="I2" i="5"/>
  <c r="J2" i="5" s="1"/>
  <c r="J27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J287" i="5" s="1"/>
  <c r="I288" i="5"/>
  <c r="J288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8" i="5"/>
  <c r="J298" i="5" s="1"/>
  <c r="I299" i="5"/>
  <c r="J299" i="5" s="1"/>
  <c r="I300" i="5"/>
  <c r="J300" i="5" s="1"/>
  <c r="I301" i="5"/>
  <c r="J301" i="5" s="1"/>
</calcChain>
</file>

<file path=xl/sharedStrings.xml><?xml version="1.0" encoding="utf-8"?>
<sst xmlns="http://schemas.openxmlformats.org/spreadsheetml/2006/main" count="995" uniqueCount="519">
  <si>
    <t>IT</t>
  </si>
  <si>
    <t>OT</t>
  </si>
  <si>
    <t>IoT</t>
  </si>
  <si>
    <t>Typ aktiva</t>
  </si>
  <si>
    <t>Server</t>
  </si>
  <si>
    <t>Pracovní stanice</t>
  </si>
  <si>
    <t>Kategorie</t>
  </si>
  <si>
    <t>PLC</t>
  </si>
  <si>
    <t>Senzor</t>
  </si>
  <si>
    <t>Aplikace</t>
  </si>
  <si>
    <t>Databáze</t>
  </si>
  <si>
    <t>Ostatní</t>
  </si>
  <si>
    <t>Provoz</t>
  </si>
  <si>
    <t>Údržba</t>
  </si>
  <si>
    <t>Externí dodavatel</t>
  </si>
  <si>
    <t>Nízká</t>
  </si>
  <si>
    <t>Střední</t>
  </si>
  <si>
    <t>Vysoká</t>
  </si>
  <si>
    <t>Oddělení</t>
  </si>
  <si>
    <t>CIA</t>
  </si>
  <si>
    <t>LAN</t>
  </si>
  <si>
    <t>Internet</t>
  </si>
  <si>
    <t>Offline</t>
  </si>
  <si>
    <t>Síť</t>
  </si>
  <si>
    <t>Lokální</t>
  </si>
  <si>
    <t>Remote</t>
  </si>
  <si>
    <t>VPN</t>
  </si>
  <si>
    <t>Přístup</t>
  </si>
  <si>
    <t>Ano</t>
  </si>
  <si>
    <t>Ne</t>
  </si>
  <si>
    <t>N/A</t>
  </si>
  <si>
    <t>Zálohování</t>
  </si>
  <si>
    <t>Riziko</t>
  </si>
  <si>
    <t>Výjimka</t>
  </si>
  <si>
    <t>Technický dluh</t>
  </si>
  <si>
    <t>Provozní omezení</t>
  </si>
  <si>
    <t>TypPoznámky</t>
  </si>
  <si>
    <t>V provozu</t>
  </si>
  <si>
    <t>Mimo provoz</t>
  </si>
  <si>
    <t>V servisu</t>
  </si>
  <si>
    <t>Vyřazeno</t>
  </si>
  <si>
    <t>StavAktiva</t>
  </si>
  <si>
    <t>Automatické</t>
  </si>
  <si>
    <t>Ruční</t>
  </si>
  <si>
    <t>Není možné</t>
  </si>
  <si>
    <t>Aktualizace</t>
  </si>
  <si>
    <t>Žádný</t>
  </si>
  <si>
    <t>Síťové zařízení</t>
  </si>
  <si>
    <t>Sloupec</t>
  </si>
  <si>
    <t>Hodnota</t>
  </si>
  <si>
    <t>Stav aktiva</t>
  </si>
  <si>
    <t>Účel</t>
  </si>
  <si>
    <t>Tento Asset Register slouží k evidenci IT / OT / IoT aktiv a základnímu přehledu o jejich:</t>
  </si>
  <si>
    <t>umístění</t>
  </si>
  <si>
    <t>odpovědnosti</t>
  </si>
  <si>
    <t>provozním stavu</t>
  </si>
  <si>
    <t>bezpečnostní kritičnosti</t>
  </si>
  <si>
    <r>
      <t xml:space="preserve">Je navržen jako </t>
    </r>
    <r>
      <rPr>
        <b/>
        <sz val="12"/>
        <color theme="1"/>
        <rFont val="Calibri"/>
        <family val="2"/>
        <charset val="238"/>
        <scheme val="minor"/>
      </rPr>
      <t>jednoduchý, přehledný základ</t>
    </r>
    <r>
      <rPr>
        <sz val="12"/>
        <color theme="1"/>
        <rFont val="Calibri"/>
        <family val="2"/>
        <charset val="238"/>
        <scheme val="minor"/>
      </rPr>
      <t>, vhodný pro malé a střední organizace.</t>
    </r>
  </si>
  <si>
    <t>Zásady vyplňování</t>
  </si>
  <si>
    <r>
      <t xml:space="preserve">Každý řádek = </t>
    </r>
    <r>
      <rPr>
        <b/>
        <sz val="12"/>
        <color theme="1"/>
        <rFont val="Calibri"/>
        <family val="2"/>
        <charset val="238"/>
        <scheme val="minor"/>
      </rPr>
      <t>jedno aktivum</t>
    </r>
  </si>
  <si>
    <t>Nepřepisujte číselníky, pokud k tomu nemáte důvod</t>
  </si>
  <si>
    <r>
      <t xml:space="preserve">Pokud si nejste jistí, zvolte </t>
    </r>
    <r>
      <rPr>
        <b/>
        <sz val="12"/>
        <color theme="1"/>
        <rFont val="Calibri"/>
        <family val="2"/>
        <charset val="238"/>
        <scheme val="minor"/>
      </rPr>
      <t>jednodušší / konzervativní hodnotu</t>
    </r>
  </si>
  <si>
    <t>Popis sloupců</t>
  </si>
  <si>
    <t>Asset ID</t>
  </si>
  <si>
    <t>Jednoznačný identifikátor aktiva</t>
  </si>
  <si>
    <t>(př. A-001, SRV-DB-01, PLC-LINKA-A)</t>
  </si>
  <si>
    <t>Název aktiva</t>
  </si>
  <si>
    <t>Srozumitelný název aktiva používaný v organizaci.</t>
  </si>
  <si>
    <t>Základní rozdělení aktiva:</t>
  </si>
  <si>
    <t>IT / OT / IoT</t>
  </si>
  <si>
    <t>Technická kategorie aktiva</t>
  </si>
  <si>
    <t>(př. Server, PLC, Senzor, Aplikace…)</t>
  </si>
  <si>
    <t>Vlastník</t>
  </si>
  <si>
    <t>Role odpovědné osoby za aktivum</t>
  </si>
  <si>
    <t>(př. IT administrátor, Vedoucí údržby)</t>
  </si>
  <si>
    <t>Nepoužívejte jména – role se lépe udržují.</t>
  </si>
  <si>
    <t>Oddělení, které má aktivum ve správě</t>
  </si>
  <si>
    <t>(IT / Provoz / Údržba / Externí dodavatel)</t>
  </si>
  <si>
    <t>Umístění</t>
  </si>
  <si>
    <t>Fyzické nebo logické umístění aktiva</t>
  </si>
  <si>
    <t>(př. Budova A – rozvaděč R3, Datacentrum, Výrobní hala)</t>
  </si>
  <si>
    <t>Stav aktiva (provozní)</t>
  </si>
  <si>
    <t>Aktuální provozní stav:</t>
  </si>
  <si>
    <t>Vyřazená aktiva se nemažou – zůstávají kvůli přehledu a auditu.</t>
  </si>
  <si>
    <t>Kritičnost (CIA)</t>
  </si>
  <si>
    <t>Celková kritičnost aktiva vycházející z:</t>
  </si>
  <si>
    <t>Dostupnosti</t>
  </si>
  <si>
    <t>Integrity</t>
  </si>
  <si>
    <t>Důvěrnosti</t>
  </si>
  <si>
    <t>Dostupnost</t>
  </si>
  <si>
    <t>Jak důležité je, aby bylo aktivum dostupné.</t>
  </si>
  <si>
    <t>Integrita</t>
  </si>
  <si>
    <t>Jak závažný by byl dopad při změně nebo poškození dat.</t>
  </si>
  <si>
    <t>Důvěrnost</t>
  </si>
  <si>
    <t>Jak citlivá jsou data zpracovávaná aktivem.</t>
  </si>
  <si>
    <t>Síťové zařazení aktiva:</t>
  </si>
  <si>
    <t>LAN / OT / Internet / Offline</t>
  </si>
  <si>
    <t>Způsob přístupu k aktivu:</t>
  </si>
  <si>
    <t>Informace, zda je aktivum zálohováno:</t>
  </si>
  <si>
    <t>Ano / Ne / N/A</t>
  </si>
  <si>
    <t>Způsob aktualizace:</t>
  </si>
  <si>
    <t>Poslední revize</t>
  </si>
  <si>
    <t>Vazba na službu / proces</t>
  </si>
  <si>
    <t>Služba nebo proces, který je na aktivu závislý</t>
  </si>
  <si>
    <t>(př. E-mail, Výroba linka A, Monitoring infrastruktury)</t>
  </si>
  <si>
    <t>Doporučený formát:</t>
  </si>
  <si>
    <t>Riziko – popis</t>
  </si>
  <si>
    <t>Výjimka – důvod a platnost</t>
  </si>
  <si>
    <t>Číselníky</t>
  </si>
  <si>
    <r>
      <t xml:space="preserve">Hodnoty v rozevíracích seznamech jsou definovány v listu </t>
    </r>
    <r>
      <rPr>
        <b/>
        <sz val="12"/>
        <color theme="1"/>
        <rFont val="Calibri"/>
        <family val="2"/>
        <charset val="238"/>
        <scheme val="minor"/>
      </rPr>
      <t>Číselníky</t>
    </r>
    <r>
      <rPr>
        <sz val="12"/>
        <color theme="1"/>
        <rFont val="Calibri"/>
        <family val="2"/>
        <charset val="238"/>
        <scheme val="minor"/>
      </rPr>
      <t>.</t>
    </r>
  </si>
  <si>
    <r>
      <t xml:space="preserve">Běžní uživatelé je </t>
    </r>
    <r>
      <rPr>
        <b/>
        <sz val="12"/>
        <color theme="1"/>
        <rFont val="Calibri"/>
        <family val="2"/>
        <charset val="238"/>
        <scheme val="minor"/>
      </rPr>
      <t>nemusí upravovat</t>
    </r>
    <r>
      <rPr>
        <sz val="12"/>
        <color theme="1"/>
        <rFont val="Calibri"/>
        <family val="2"/>
        <charset val="238"/>
        <scheme val="minor"/>
      </rPr>
      <t>.</t>
    </r>
  </si>
  <si>
    <t>Rozsah CORE verze</t>
  </si>
  <si>
    <t>Tato verze:</t>
  </si>
  <si>
    <t>neřeší detailní řízení rizik</t>
  </si>
  <si>
    <t>neobsahuje RTO/RPO</t>
  </si>
  <si>
    <t>neobsahuje bezpečnostní nástroje (EDR, SIEM…)</t>
  </si>
  <si>
    <r>
      <t xml:space="preserve">Tyto oblasti patří do </t>
    </r>
    <r>
      <rPr>
        <b/>
        <sz val="12"/>
        <color theme="1"/>
        <rFont val="Calibri"/>
        <family val="2"/>
        <charset val="238"/>
        <scheme val="minor"/>
      </rPr>
      <t>rozšířených verzí</t>
    </r>
    <r>
      <rPr>
        <sz val="12"/>
        <color theme="1"/>
        <rFont val="Calibri"/>
        <family val="2"/>
        <charset val="238"/>
        <scheme val="minor"/>
      </rPr>
      <t>.</t>
    </r>
  </si>
  <si>
    <t>Doporučení</t>
  </si>
  <si>
    <t>Instrukce – Asset Register</t>
  </si>
  <si>
    <t>Datum poslední kontroly nebo aktualizace záznamu.</t>
  </si>
  <si>
    <t>Poznámka: Při jakékoliv fyzické změně aktiva (např. oprava, přesun) je uživatel povinen aktualizovat datum v sloupci Poslední revize.</t>
  </si>
  <si>
    <t>Asset register pravidelně revidujte (např. 1× ročně).</t>
  </si>
  <si>
    <t>Začněte s hlavními aktivy, detail doplňujte postupně.</t>
  </si>
  <si>
    <r>
      <t xml:space="preserve">Dokonalost není cíl – </t>
    </r>
    <r>
      <rPr>
        <b/>
        <sz val="12"/>
        <color theme="1"/>
        <rFont val="Calibri"/>
        <family val="2"/>
        <charset val="238"/>
        <scheme val="minor"/>
      </rPr>
      <t>přehled je cíl.</t>
    </r>
  </si>
  <si>
    <r>
      <rPr>
        <b/>
        <sz val="12"/>
        <color theme="0"/>
        <rFont val="Calibri"/>
        <family val="2"/>
        <charset val="238"/>
        <scheme val="minor"/>
      </rPr>
      <t xml:space="preserve">Asset ID </t>
    </r>
    <r>
      <rPr>
        <sz val="11"/>
        <color theme="0"/>
        <rFont val="Calibri"/>
        <family val="2"/>
        <charset val="238"/>
        <scheme val="minor"/>
      </rPr>
      <t>Jednoznačný identifikátor</t>
    </r>
  </si>
  <si>
    <r>
      <rPr>
        <b/>
        <sz val="12"/>
        <color theme="0"/>
        <rFont val="Calibri"/>
        <family val="2"/>
        <charset val="238"/>
        <scheme val="minor"/>
      </rPr>
      <t>Název aktiva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Srozumitelný název</t>
    </r>
    <r>
      <rPr>
        <b/>
        <sz val="11"/>
        <color theme="0"/>
        <rFont val="Calibri"/>
        <family val="2"/>
        <charset val="238"/>
        <scheme val="minor"/>
      </rPr>
      <t xml:space="preserve">
</t>
    </r>
  </si>
  <si>
    <r>
      <t xml:space="preserve">Typ aktiva
</t>
    </r>
    <r>
      <rPr>
        <sz val="11"/>
        <color theme="0"/>
        <rFont val="Calibri"/>
        <family val="2"/>
        <charset val="238"/>
        <scheme val="minor"/>
      </rPr>
      <t>IT / OT / IoT</t>
    </r>
  </si>
  <si>
    <r>
      <rPr>
        <b/>
        <sz val="12"/>
        <color theme="0"/>
        <rFont val="Calibri"/>
        <family val="2"/>
        <charset val="238"/>
        <scheme val="minor"/>
      </rPr>
      <t>Kategorie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Server, PLC, Sensor, Aplikace…</t>
    </r>
  </si>
  <si>
    <r>
      <rPr>
        <b/>
        <sz val="12"/>
        <color theme="0"/>
        <rFont val="Calibri"/>
        <family val="2"/>
        <charset val="238"/>
        <scheme val="minor"/>
      </rPr>
      <t>Vlastník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Role odpovědné osoby</t>
    </r>
  </si>
  <si>
    <r>
      <rPr>
        <b/>
        <sz val="12"/>
        <color theme="0"/>
        <rFont val="Calibri"/>
        <family val="2"/>
        <charset val="238"/>
        <scheme val="minor"/>
      </rPr>
      <t>Oddělení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IT / Provoz / Údržba</t>
    </r>
  </si>
  <si>
    <r>
      <rPr>
        <b/>
        <sz val="12"/>
        <color theme="0"/>
        <rFont val="Calibri"/>
        <family val="2"/>
        <charset val="238"/>
        <scheme val="minor"/>
      </rPr>
      <t xml:space="preserve">Umístění
</t>
    </r>
    <r>
      <rPr>
        <sz val="11"/>
        <color theme="0"/>
        <rFont val="Calibri"/>
        <family val="2"/>
        <charset val="238"/>
        <scheme val="minor"/>
      </rPr>
      <t>Budova / rozvaděč / lokalita</t>
    </r>
  </si>
  <si>
    <r>
      <rPr>
        <b/>
        <sz val="12"/>
        <color theme="0"/>
        <rFont val="Calibri"/>
        <family val="2"/>
        <charset val="238"/>
        <scheme val="minor"/>
      </rPr>
      <t>Dostupnost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</si>
  <si>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Integrita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</si>
  <si>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 xml:space="preserve">Důvěrnost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</si>
  <si>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Síť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LAN / OT / Internet / Offline</t>
    </r>
  </si>
  <si>
    <r>
      <rPr>
        <b/>
        <sz val="12"/>
        <color theme="0"/>
        <rFont val="Calibri"/>
        <family val="2"/>
        <charset val="238"/>
        <scheme val="minor"/>
      </rPr>
      <t>Přístup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Lokální / Remote / VPN</t>
    </r>
  </si>
  <si>
    <r>
      <rPr>
        <b/>
        <sz val="12"/>
        <color theme="0"/>
        <rFont val="Calibri"/>
        <family val="2"/>
        <charset val="238"/>
        <scheme val="minor"/>
      </rPr>
      <t xml:space="preserve">Zálohování
</t>
    </r>
    <r>
      <rPr>
        <sz val="11"/>
        <color theme="0"/>
        <rFont val="Calibri"/>
        <family val="2"/>
        <charset val="238"/>
        <scheme val="minor"/>
      </rPr>
      <t>Ano / Ne / N/A</t>
    </r>
  </si>
  <si>
    <r>
      <rPr>
        <b/>
        <sz val="12"/>
        <color theme="0"/>
        <rFont val="Calibri"/>
        <family val="2"/>
        <charset val="238"/>
        <scheme val="minor"/>
      </rPr>
      <t>Aktualizace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Automatické / Ruční / Není možné</t>
    </r>
  </si>
  <si>
    <r>
      <rPr>
        <b/>
        <sz val="12"/>
        <color theme="0"/>
        <rFont val="Calibri"/>
        <family val="2"/>
        <charset val="238"/>
        <scheme val="minor"/>
      </rPr>
      <t>Poslední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b/>
        <sz val="12"/>
        <color theme="0"/>
        <rFont val="Calibri"/>
        <family val="2"/>
        <charset val="238"/>
        <scheme val="minor"/>
      </rPr>
      <t>revize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Datum</t>
    </r>
  </si>
  <si>
    <r>
      <rPr>
        <b/>
        <sz val="12"/>
        <color theme="0"/>
        <rFont val="Calibri"/>
        <family val="2"/>
        <charset val="238"/>
        <scheme val="minor"/>
      </rPr>
      <t xml:space="preserve">Vazba na službu / proces </t>
    </r>
    <r>
      <rPr>
        <sz val="11"/>
        <color theme="0"/>
        <rFont val="Calibri"/>
        <family val="2"/>
        <charset val="238"/>
        <scheme val="minor"/>
      </rPr>
      <t>podporovaný aktivem</t>
    </r>
  </si>
  <si>
    <t>Hodnoty:</t>
  </si>
  <si>
    <t xml:space="preserve"> Nízká</t>
  </si>
  <si>
    <t>Volitelné vizuální zvýraznění (doporučení)</t>
  </si>
  <si>
    <t>Následující doporučení slouží ke zvýšení přehlednosti a disciplíny práce s registrem.</t>
  </si>
  <si>
    <t>Poslední revize (disciplína aktualizace)</t>
  </si>
  <si>
    <t>Cílem je připomenout nutnost pravidelné aktualizace při změnách aktiva.</t>
  </si>
  <si>
    <t>Pro rychlou orientaci lze volitelně použít podmíněné formátování:</t>
  </si>
  <si>
    <t>CIA + Kritičnost (jednotné barevné značení)</t>
  </si>
  <si>
    <t>Úroveň</t>
  </si>
  <si>
    <t>Poznámky – Rizika / Výjimky (nepovinné)</t>
  </si>
  <si>
    <t>Pro lepší orientaci v poznámkách lze volitelně použít jemné zvýraznění:</t>
  </si>
  <si>
    <t>Vizuální zvýraznění slouží pouze jako pomůcka.</t>
  </si>
  <si>
    <t>Asset register zůstává plně funkční i bez použití barev.</t>
  </si>
  <si>
    <t>Poznámka:</t>
  </si>
  <si>
    <t>V provozu #D4EDDA (světle zelená)</t>
  </si>
  <si>
    <t>Mimo provoz #FFE5B4 (světle oranžová)</t>
  </si>
  <si>
    <t>V servisu #FFF3CD (žlutá)</t>
  </si>
  <si>
    <t>Vyřazeno #F8D7DA (světle červená)</t>
  </si>
  <si>
    <t>Nízká #D4EDDA (zelená)</t>
  </si>
  <si>
    <t>Střední #FFE5B4 (oranžová)</t>
  </si>
  <si>
    <t>Vysoká #F8D7DA (červená)</t>
  </si>
  <si>
    <t>Stav aktiva (podmíněné formátování)</t>
  </si>
  <si>
    <t>Použití stejných barev napříč CIA zvyšuje okamžitou čitelnost pro management i audit.</t>
  </si>
  <si>
    <t>Používejte hodnoty z rozevíracích seznamů (číselníků), pokud jsou k dispozici.</t>
  </si>
  <si>
    <t>Stav aktiva vyjadřuje provozní stav, nikoli bezpečnostní riziko.</t>
  </si>
  <si>
    <r>
      <t xml:space="preserve">Použití barev je </t>
    </r>
    <r>
      <rPr>
        <b/>
        <sz val="12"/>
        <color theme="1"/>
        <rFont val="Calibri"/>
        <family val="2"/>
        <charset val="238"/>
        <scheme val="minor"/>
      </rPr>
      <t>nepovinné</t>
    </r>
    <r>
      <rPr>
        <sz val="12"/>
        <color theme="1"/>
        <rFont val="Calibri"/>
        <family val="2"/>
        <charset val="238"/>
        <scheme val="minor"/>
      </rPr>
      <t xml:space="preserve"> a nemá vliv na význam uložených dat.</t>
    </r>
  </si>
  <si>
    <r>
      <t xml:space="preserve">Pro zvýraznění sloupce </t>
    </r>
    <r>
      <rPr>
        <b/>
        <sz val="12"/>
        <color theme="1"/>
        <rFont val="Calibri"/>
        <family val="2"/>
        <charset val="238"/>
        <scheme val="minor"/>
      </rPr>
      <t>Poslední revize</t>
    </r>
    <r>
      <rPr>
        <sz val="12"/>
        <color theme="1"/>
        <rFont val="Calibri"/>
        <family val="2"/>
        <charset val="238"/>
        <scheme val="minor"/>
      </rPr>
      <t xml:space="preserve"> lze použít jemné upozornění:</t>
    </r>
  </si>
  <si>
    <r>
      <t xml:space="preserve">Pozadí buňky: </t>
    </r>
    <r>
      <rPr>
        <sz val="12"/>
        <color theme="1"/>
        <rFont val="Arial Unicode MS"/>
      </rPr>
      <t>#FFF3CD (světle žlutá)</t>
    </r>
  </si>
  <si>
    <r>
      <t xml:space="preserve">Text: </t>
    </r>
    <r>
      <rPr>
        <sz val="12"/>
        <color theme="1"/>
        <rFont val="Arial Unicode MS"/>
      </rPr>
      <t>#856404 (zlatá)</t>
    </r>
  </si>
  <si>
    <r>
      <t xml:space="preserve">Lze využít také jako upozornění </t>
    </r>
    <r>
      <rPr>
        <b/>
        <sz val="12"/>
        <color theme="1"/>
        <rFont val="Calibri"/>
        <family val="2"/>
        <charset val="238"/>
        <scheme val="minor"/>
      </rPr>
      <t>„nutno aktualizovat“</t>
    </r>
  </si>
  <si>
    <r>
      <t xml:space="preserve">Stejné barevné značení lze použít pro sloupce </t>
    </r>
    <r>
      <rPr>
        <b/>
        <sz val="12"/>
        <color theme="1"/>
        <rFont val="Calibri"/>
        <family val="2"/>
        <charset val="238"/>
        <scheme val="minor"/>
      </rPr>
      <t>Dostupnost / Integrita / Důvěrnost / Kritičnost</t>
    </r>
    <r>
      <rPr>
        <sz val="12"/>
        <color theme="1"/>
        <rFont val="Calibri"/>
        <family val="2"/>
        <charset val="238"/>
        <scheme val="minor"/>
      </rPr>
      <t>:</t>
    </r>
  </si>
  <si>
    <t>Kritičnost (souhrn CIA)</t>
  </si>
  <si>
    <t>Význam / Definice</t>
  </si>
  <si>
    <t>–</t>
  </si>
  <si>
    <t>Fyzický server nebo virtuální instance</t>
  </si>
  <si>
    <t>Řídicí jednotky výrobních linek</t>
  </si>
  <si>
    <t>Databázové systémy</t>
  </si>
  <si>
    <t>Jiná zařízení nebo infrastruktura</t>
  </si>
  <si>
    <t>Správa a provoz IT aktiv</t>
  </si>
  <si>
    <t>Provozní technologie</t>
  </si>
  <si>
    <t>Údržba a servis</t>
  </si>
  <si>
    <t>Aktivum spravované externě</t>
  </si>
  <si>
    <t>Aktivum je zapojené, funkční a aktivně se používá</t>
  </si>
  <si>
    <t>Dočasně neaktivní (např. v záloze nebo čeká na nasazení)</t>
  </si>
  <si>
    <t>Probíhá oprava, údržba nebo konfigurace</t>
  </si>
  <si>
    <t>Trvale vyřazeno; záznam zůstává pro potřeby auditu</t>
  </si>
  <si>
    <t>Dopad incidentu je zanedbatelný, neohrožuje chod firmy</t>
  </si>
  <si>
    <t>Omezení služeb, dopad na efektivitu, proces běží dál</t>
  </si>
  <si>
    <t>Kritický dopad, zastavení výroby nebo únik citlivých dat</t>
  </si>
  <si>
    <t>Nízká / Střední / Vysoká</t>
  </si>
  <si>
    <t>Hodnocení, jak důležité je, aby aktivum bylo dostupné</t>
  </si>
  <si>
    <t>Hodnocení dopadu poškození dat nebo konfigurace</t>
  </si>
  <si>
    <t>Hodnocení citlivosti dat zpracovávaných aktivem</t>
  </si>
  <si>
    <t>Připojeno do lokální sítě</t>
  </si>
  <si>
    <t>Připojeno do provozní sítě</t>
  </si>
  <si>
    <t>Přístup přes veřejný internet</t>
  </si>
  <si>
    <t>Žádné síťové připojení</t>
  </si>
  <si>
    <t>Nutná fyzická přítomnost u zařízení</t>
  </si>
  <si>
    <t>Vzdálený přístup v rámci sítě</t>
  </si>
  <si>
    <t>Bezpečný šifrovaný přístup</t>
  </si>
  <si>
    <t>Žádný přístup ani lokální, ani vzdálený</t>
  </si>
  <si>
    <t>Funkční a pravidelná záloha dat / konfigurace</t>
  </si>
  <si>
    <t>Zálohování není zajištěno</t>
  </si>
  <si>
    <t>Aktivum neobsahuje měnitelná data / konfiguraci</t>
  </si>
  <si>
    <t>Aktualizace probíhají automaticky</t>
  </si>
  <si>
    <t>Aktualizace probíhají manuálně</t>
  </si>
  <si>
    <t>Aktualizace nelze provádět</t>
  </si>
  <si>
    <t>Název služby / procesu závislého na aktivu</t>
  </si>
  <si>
    <t>Typ poznámky</t>
  </si>
  <si>
    <t>Identifikované riziko</t>
  </si>
  <si>
    <t>Schválená výjimka</t>
  </si>
  <si>
    <t>Nedokončená konfigurace / omezení</t>
  </si>
  <si>
    <t>Omezení provozu nebo funkcionality</t>
  </si>
  <si>
    <t>Datum poslední kontroly / aktualizace. Povinnost aktualizace při fyzické změně aktiva (oprava, přesun)</t>
  </si>
  <si>
    <t>Internet věcí (chytrá čidla, kamery, IP senzory)</t>
  </si>
  <si>
    <t>Provozní technologie (výrobní stroje, řídicí systémy)</t>
  </si>
  <si>
    <t>Informační technologie (kancelářská technika, servery)</t>
  </si>
  <si>
    <t>Riziko → #FDECEA (velmi světle červená)</t>
  </si>
  <si>
    <t>Výjimka → #E8F0FE (světle modrá)</t>
  </si>
  <si>
    <t>Technický dluh → #FFF3CD (žlutá)</t>
  </si>
  <si>
    <t>Poznámka</t>
  </si>
  <si>
    <r>
      <rPr>
        <b/>
        <sz val="12"/>
        <color theme="0"/>
        <rFont val="Calibri"/>
        <family val="2"/>
        <charset val="238"/>
        <scheme val="minor"/>
      </rPr>
      <t>Kritičnost</t>
    </r>
    <r>
      <rPr>
        <b/>
        <sz val="11"/>
        <color theme="0"/>
        <rFont val="Calibri"/>
        <family val="2"/>
        <charset val="238"/>
        <scheme val="minor"/>
      </rPr>
      <t xml:space="preserve"> S</t>
    </r>
    <r>
      <rPr>
        <sz val="11"/>
        <color theme="0"/>
        <rFont val="Calibri"/>
        <family val="2"/>
        <charset val="238"/>
        <scheme val="minor"/>
      </rPr>
      <t>ouhrn CIA, 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</si>
  <si>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Stav aktiva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Provozní</t>
    </r>
  </si>
  <si>
    <t>Kategorie poznámky k aktivu: Riziko / Výjimka / Technický dluh / Provozní omezení</t>
  </si>
  <si>
    <t>Stručný popis aktuálního stavu, omezení nebo skutečnosti vztahující se k aktivu.</t>
  </si>
  <si>
    <t>Neuvádějte návrhy opatření ani řešení.</t>
  </si>
  <si>
    <t>Tento sloupec neslouží jako náhrada řízení rizik, pouze jako evidenční záznam.</t>
  </si>
  <si>
    <r>
      <rPr>
        <b/>
        <sz val="12"/>
        <color theme="0"/>
        <rFont val="Calibri"/>
        <family val="2"/>
        <charset val="238"/>
        <scheme val="minor"/>
      </rPr>
      <t>Typ poznámky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Riziko / výjimka / technický dluh / provozní omezení</t>
    </r>
  </si>
  <si>
    <r>
      <t xml:space="preserve">Poznámka </t>
    </r>
    <r>
      <rPr>
        <sz val="11"/>
        <color theme="0"/>
        <rFont val="Calibri"/>
        <family val="2"/>
        <charset val="238"/>
        <scheme val="minor"/>
      </rPr>
      <t>Stručný popis</t>
    </r>
  </si>
  <si>
    <t>Stručný popis</t>
  </si>
  <si>
    <t>Stav</t>
  </si>
  <si>
    <t>Doporučené
opatření</t>
  </si>
  <si>
    <t>Stávající opatření</t>
  </si>
  <si>
    <t>Priorita</t>
  </si>
  <si>
    <t>Úroveň rizika</t>
  </si>
  <si>
    <t>Pravděpodobnost</t>
  </si>
  <si>
    <t>Dopad</t>
  </si>
  <si>
    <t>Popis rizika</t>
  </si>
  <si>
    <t>Název rizika</t>
  </si>
  <si>
    <t xml:space="preserve">Název aktiva </t>
  </si>
  <si>
    <t>Risk ID</t>
  </si>
  <si>
    <t>Uzavřené</t>
  </si>
  <si>
    <t>Akceptované</t>
  </si>
  <si>
    <t>Vysoký</t>
  </si>
  <si>
    <t>Řeší se</t>
  </si>
  <si>
    <t>Otevřené</t>
  </si>
  <si>
    <t>Nízký</t>
  </si>
  <si>
    <t>Dopad / Pravděpodobnost</t>
  </si>
  <si>
    <t>Vlastník rizika</t>
  </si>
  <si>
    <t>Datum revize</t>
  </si>
  <si>
    <t>Risk Register slouží k evidenci a řízení bezpečnostních rizik vztahujících se k IT / OT / IoT aktivům.</t>
  </si>
  <si>
    <t>Umožňuje:</t>
  </si>
  <si>
    <t>identifikovat rizika navázaná na konkrétní aktiva</t>
  </si>
  <si>
    <t>vyhodnotit jejich dopad a pravděpodobnost</t>
  </si>
  <si>
    <t>stanovit prioritu řešení</t>
  </si>
  <si>
    <t>sledovat stav a odpovědnost za riziko</t>
  </si>
  <si>
    <t>Je navržen jako jednoduchý a praktický nástroj vhodný pro malé a střední organizace.</t>
  </si>
  <si>
    <t>Každý řádek = jedno riziko</t>
  </si>
  <si>
    <r>
      <t xml:space="preserve">Rizika se zapisují </t>
    </r>
    <r>
      <rPr>
        <b/>
        <sz val="11"/>
        <color theme="1"/>
        <rFont val="Calibri"/>
        <family val="2"/>
        <charset val="238"/>
        <scheme val="minor"/>
      </rPr>
      <t>pouze pro relevantní aktiva</t>
    </r>
    <r>
      <rPr>
        <sz val="11"/>
        <color theme="1"/>
        <rFont val="Calibri"/>
        <family val="2"/>
        <charset val="238"/>
        <scheme val="minor"/>
      </rPr>
      <t xml:space="preserve"> (ne všechna aktiva musí mít riziko)</t>
    </r>
  </si>
  <si>
    <t>Asset ID se vybírá z rozevíracího seznamu napojeného na Asset Register</t>
  </si>
  <si>
    <t>Hodnoty Dopad a Pravděpodobnost se vybírají z číselníků</t>
  </si>
  <si>
    <t>Úroveň rizika a Priorita se dopočítávají automaticky – tyto buňky se ručně neupravují</t>
  </si>
  <si>
    <t>Stav rizika se aktualizuje průběžně podle postupu řešení</t>
  </si>
  <si>
    <t>Jednoznačný identifikátor rizika</t>
  </si>
  <si>
    <t>(př. R-001, R-OT-05)</t>
  </si>
  <si>
    <t>Odkaz na aktivum z Asset Registeru, ke kterému se riziko vztahuje.</t>
  </si>
  <si>
    <t>Vyplňuje se výběrem z rozevíracího seznamu.</t>
  </si>
  <si>
    <t>Automaticky doplněný název aktiva dle zvoleného Asset ID.</t>
  </si>
  <si>
    <t>Slouží pro přehlednost – neupravuje se ručně.</t>
  </si>
  <si>
    <t>Krátký výstižný název rizika.</t>
  </si>
  <si>
    <t>(př. „Neautorizovaný vzdálený přístup k PLC“)</t>
  </si>
  <si>
    <t>Vlastník rizika (Risk Owner)</t>
  </si>
  <si>
    <t>Role odpovědná za řízení daného rizika.</t>
  </si>
  <si>
    <t>(př. IT Manager, Vedoucí provozu, Security Officer)</t>
  </si>
  <si>
    <t>Nepoužívejte osobní jména – pouze role.</t>
  </si>
  <si>
    <t>Stručný popis scénáře rizika:</t>
  </si>
  <si>
    <t>co se může stát</t>
  </si>
  <si>
    <t>čeho se to týká</t>
  </si>
  <si>
    <t>proč je to problém</t>
  </si>
  <si>
    <t>Hodnocení závažnosti následků při realizaci rizika.</t>
  </si>
  <si>
    <t>Hodnoty: Nízký / Střední / Vysoký</t>
  </si>
  <si>
    <t>Odhad pravděpodobnosti výskytu rizika.</t>
  </si>
  <si>
    <t>Hodnoty: Nízká / Střední / Vysoká</t>
  </si>
  <si>
    <t>Automaticky vypočtená kombinace Dopadu a Pravděpodobnosti dle Risk Matrix.</t>
  </si>
  <si>
    <t>Slouží jako objektivní velikost rizika.</t>
  </si>
  <si>
    <t>Určuje pořadí řešení rizik z pohledu organizace.</t>
  </si>
  <si>
    <t>Může zohlednit kapacity, rozpočet nebo strategický význam.</t>
  </si>
  <si>
    <t>Počítá se automaticky z úrovně rizika.</t>
  </si>
  <si>
    <t>Úroveň rizika = velikost hrozby</t>
  </si>
  <si>
    <t>Priorita = pořadí řešení</t>
  </si>
  <si>
    <t>Popis již existujících kontrol nebo opatření, která riziko snižují.</t>
  </si>
  <si>
    <t>(př. firewall, fyzické uzamčení, řízení přístupů)</t>
  </si>
  <si>
    <t>Doporučené opatření</t>
  </si>
  <si>
    <t>Návrh dalších kroků ke snížení rizika.</t>
  </si>
  <si>
    <t>(př. zavést VPN, segmentaci sítě, aktualizaci firmware)</t>
  </si>
  <si>
    <t>Aktuální fáze řízení rizika:</t>
  </si>
  <si>
    <t>Datum poslední kontroly nebo aktualizace záznamu rizika.</t>
  </si>
  <si>
    <t>Slouží jako auditní stopa.</t>
  </si>
  <si>
    <t>Hodnoty pro Dopad, Pravděpodobnost, Stav a další rozevírací seznamy jsou definovány v listu Číselníky.</t>
  </si>
  <si>
    <t>Běžní uživatelé je neupravují.</t>
  </si>
  <si>
    <t>Tato CORE verze:</t>
  </si>
  <si>
    <t>používá jednoduchou 3×3 Risk Matrix</t>
  </si>
  <si>
    <t>neobsahuje finanční kvantifikaci rizik</t>
  </si>
  <si>
    <t>neřeší residual risk po opatřeních</t>
  </si>
  <si>
    <t>neobsahuje vazbu na konkrétní bezpečnostní kontroly ISO Annex A</t>
  </si>
  <si>
    <t>Tyto oblasti patří do rozšířených verzí.</t>
  </si>
  <si>
    <t>Risk Register revidujte pravidelně (minimálně 1× ročně)</t>
  </si>
  <si>
    <t>Zaměřte se nejdříve na klíčová aktiva</t>
  </si>
  <si>
    <r>
      <t xml:space="preserve">Rizika, která vedení vědomě přijímá, označte jako </t>
    </r>
    <r>
      <rPr>
        <b/>
        <sz val="11"/>
        <color theme="1"/>
        <rFont val="Calibri"/>
        <family val="2"/>
        <charset val="238"/>
        <scheme val="minor"/>
      </rPr>
      <t>Akceptované</t>
    </r>
  </si>
  <si>
    <t>Uzavřená rizika nemažte – slouží jako historický záznam</t>
  </si>
  <si>
    <t>Dokonalost není cílem.</t>
  </si>
  <si>
    <t>Řízený přehled rizik je cílem.</t>
  </si>
  <si>
    <t>Volitelné vizuální zvýraznění</t>
  </si>
  <si>
    <t>Úroveň rizika:</t>
  </si>
  <si>
    <t>Nízká → #D4EDDA</t>
  </si>
  <si>
    <t>Střední → #FFE5B4</t>
  </si>
  <si>
    <t>Vysoká → #F8D7DA</t>
  </si>
  <si>
    <t>Stav rizika:</t>
  </si>
  <si>
    <t>Řeší se → #FFF3CD</t>
  </si>
  <si>
    <t>Akceptované → #E8F0FE</t>
  </si>
  <si>
    <t>Uzavřené → #E9ECEF</t>
  </si>
  <si>
    <t>Použití barev je nepovinné a nemá vliv na význam dat.</t>
  </si>
  <si>
    <t>Odkaz na aktivum z Asset Registeru</t>
  </si>
  <si>
    <t>Automaticky doplněný název aktiva dle Asset ID</t>
  </si>
  <si>
    <t>Krátký výstižný název rizika</t>
  </si>
  <si>
    <t>Role odpovědná za řízení rizika</t>
  </si>
  <si>
    <t>Stručný popis scénáře rizika</t>
  </si>
  <si>
    <t>Omezený dopad na provoz</t>
  </si>
  <si>
    <t>Částečné omezení služeb</t>
  </si>
  <si>
    <t>Kritický dopad</t>
  </si>
  <si>
    <t>Výskyt rizika je nepravděpodobný</t>
  </si>
  <si>
    <t>Vyžaduje plánování opatření</t>
  </si>
  <si>
    <t>Vyžaduje bezodkladné řízení</t>
  </si>
  <si>
    <t>Riziko se může vyskytnout</t>
  </si>
  <si>
    <t>Riziko je očekávatelné</t>
  </si>
  <si>
    <t>Automaticky vypočtená úroveň rizika</t>
  </si>
  <si>
    <t>Řešení v běžném plánování</t>
  </si>
  <si>
    <t>Krátkodobý plán řešení</t>
  </si>
  <si>
    <t>Přednostní řešení</t>
  </si>
  <si>
    <t>Existující kontrolní opatření</t>
  </si>
  <si>
    <t>Návrh dalších kroků ke snížení rizika</t>
  </si>
  <si>
    <t>Riziko identifikováno</t>
  </si>
  <si>
    <t>Probíhá řešení</t>
  </si>
  <si>
    <t>Riziko přijato vedením</t>
  </si>
  <si>
    <t>Riziko ošetřeno</t>
  </si>
  <si>
    <t>Datum poslední aktualizace záznamu</t>
  </si>
  <si>
    <t>DEV-01</t>
  </si>
  <si>
    <t>Neautorizovaný přístup k nastavení jednotky</t>
  </si>
  <si>
    <t>Chybějící VPN umožňuje útočníkovi vzdáleně změnit nastavení jednotky, což znemožní odesílání správných provozních dat</t>
  </si>
  <si>
    <t>Login ve formátu "příjmení", základní heslo</t>
  </si>
  <si>
    <t>Fleet manager</t>
  </si>
  <si>
    <t>Fyzické zničení nebo odcizení jednotky</t>
  </si>
  <si>
    <t>Pachatel vnikne do lokomotivy a jednotku demontuje nebo úmyslně poškodí</t>
  </si>
  <si>
    <t>organizační/fyzické kontroly</t>
  </si>
  <si>
    <t>Alarm při ztrátě napájení</t>
  </si>
  <si>
    <t>Nedostupnost telemetrických dat (Offline stav)</t>
  </si>
  <si>
    <t>Selhání konektivity (SIM karta) nebo nekompatibilita FW zařízení 3. stran způsobí výpadek dat, což vede k porušení SLA (reakce do 3 dnů).</t>
  </si>
  <si>
    <t>pravidelný vzdálený monitoring, funkční kontroly v provozu</t>
  </si>
  <si>
    <t>Integrované čipové SIM</t>
  </si>
  <si>
    <t>Software/firmware</t>
  </si>
  <si>
    <t>Lead Developer</t>
  </si>
  <si>
    <t>Firmware neobsahuje digitální podpis</t>
  </si>
  <si>
    <t>RISK-DEV-01</t>
  </si>
  <si>
    <t>RISK-DEV-02</t>
  </si>
  <si>
    <t>RISK-DEV-03</t>
  </si>
  <si>
    <t>RISK-FW-01</t>
  </si>
  <si>
    <t>Podvržení firmwaru (Missing Code Signing)</t>
  </si>
  <si>
    <t>Absence digitálního podpisu umožňuje nahrát neautorizovaný software, což může vést k úplnému převzetí kontroly nad jednotkou.</t>
  </si>
  <si>
    <t>Žádná (jednotka přijme jakýkoliv binární soubor).</t>
  </si>
  <si>
    <t>FW-01</t>
  </si>
  <si>
    <t>Network Administrator</t>
  </si>
  <si>
    <t>System specialist</t>
  </si>
  <si>
    <t>NET-SIM-01</t>
  </si>
  <si>
    <t>vyjmutí/krádež SIM karty</t>
  </si>
  <si>
    <t>NET-HTTPS-01</t>
  </si>
  <si>
    <t>Mobilní - lokomotivy</t>
  </si>
  <si>
    <t>Veřejný internet</t>
  </si>
  <si>
    <t>Chybějící privátní APN/VPN. Data jsou vystavena ve veřejném internetu, což zvyšuje plochu pro útok.</t>
  </si>
  <si>
    <t>RISK-NET-01</t>
  </si>
  <si>
    <t>Fyzické zneužití / krádež SIM karty</t>
  </si>
  <si>
    <t>Neautorizovaná osoba vyjme SIM z jednotky. Následkem je offline stav jednotky (ztráta dat) a riziko finanční škody (zneužití datového tarifu v jiném zařízení).</t>
  </si>
  <si>
    <t>RISK-NET-02</t>
  </si>
  <si>
    <t>Expirace/chyba SSL certifikátu</t>
  </si>
  <si>
    <t>Vypršení platnosti certifikátu na straně serveru způsobí, že se jednotky přestanou připojovat.</t>
  </si>
  <si>
    <t>provozní opatření fyzické bezpečnosti zákazníka, omezení dat</t>
  </si>
  <si>
    <t>Žádné</t>
  </si>
  <si>
    <t>Šifrování přenosu pomocí TLS 1.2+ a ověřování identity serveru pomocí certifikátu.</t>
  </si>
  <si>
    <t>Automatizovaný monitoring a alerting: Nasazení nástroje, který hlídá platnost certifikátů a pošle upozornění (např. 30 dní před vypršením) na IT dohled.</t>
  </si>
  <si>
    <t>DAT-01</t>
  </si>
  <si>
    <t>Implementace Digitálního podepisování (Code Signing). Vývojář podepíše FW soukromým klíčem a jednotka pomocí veřejného klíče ověří integritu před instalací.</t>
  </si>
  <si>
    <t>Síťová služba</t>
  </si>
  <si>
    <t>Senzor / Device</t>
  </si>
  <si>
    <t>Software / Firmware</t>
  </si>
  <si>
    <t>Dataset / Data</t>
  </si>
  <si>
    <t>Security Object (certifikáty, klíče)</t>
  </si>
  <si>
    <t>Data jsou uložena na backendu gxtdm.eu. Pozn.: Nutno ověřit existenci a periodu záloh (RTO/RPO).</t>
  </si>
  <si>
    <t>RISK-DAT-01</t>
  </si>
  <si>
    <t>Nedostatečná strategie obnovy dat (Backup &amp; Recovery)</t>
  </si>
  <si>
    <t>Absence definovaných parametrů RTO/RPO a neověřená funkčnost záloh může vést k trvalé ztrátě historie telemetrie při havárii serveru.</t>
  </si>
  <si>
    <t>Smluvně zakotvit (SLA) s poskytovatelem gxtdm.eu povinnost zálohování a definovat v nich právě RTO a RPO.</t>
  </si>
  <si>
    <t>Jednotka disponuje interní pamětí pro uložení dat po dobu 14 dnů v případě nedostupnosti sítě nebo backendu.</t>
  </si>
  <si>
    <t>API-01</t>
  </si>
  <si>
    <t>RISK-API-01</t>
  </si>
  <si>
    <t>RISK-API-02</t>
  </si>
  <si>
    <t>Expozice klíčů (API Key Leak)</t>
  </si>
  <si>
    <t>Pokud útočník získá API klíč (třeba z firmwaru nebo od bývalého zaměstnance), může do systému sypat falešná data nebo všechna data ukrást.</t>
  </si>
  <si>
    <t>Broken Object Level Authorization (BOLA)</t>
  </si>
  <si>
    <t>Útočník se přihlásí jako "Zákazník A", ale přes API si řekne o data "Zákazníka B" a systém mu je vydá.</t>
  </si>
  <si>
    <t>Absence moderních autentizačních mechanismů (např. mTLS nebo OAuth2). API využívá pouze statické heslo, což je v rozporu se standardy pro kritickou infrastrukturu.</t>
  </si>
  <si>
    <t>Statické heslo</t>
  </si>
  <si>
    <t>Ověření identity uživatele pomocí přihlašovacích údajů (Autentizace).</t>
  </si>
  <si>
    <t>Implementace kontroly oprávnění na úrovni objektu (Autorizace). Server musí při každém volání API ověřit, zda přihlášený uživatel má vztah k požadovanému ID lokomotivy v databázi.</t>
  </si>
  <si>
    <t>SYS-BACK-01</t>
  </si>
  <si>
    <t>Dodavatel</t>
  </si>
  <si>
    <t>SYS-BACK-02</t>
  </si>
  <si>
    <t>Backend infrastruktura</t>
  </si>
  <si>
    <t xml:space="preserve">Záložní backend infrastruktura </t>
  </si>
  <si>
    <t>NET-VPN-01</t>
  </si>
  <si>
    <t>Správcovský přístup k backend inrastruktuře</t>
  </si>
  <si>
    <t>RISK-BACK-01</t>
  </si>
  <si>
    <t>Ztráta kontroly nad fyzickou bezpečností a dostupností dat.</t>
  </si>
  <si>
    <t>Závislost na dodavateli backend serveru.</t>
  </si>
  <si>
    <t>Provoz zajištěn externě. Kritická závislost na finanční stabilitě a kybernetické bezpečnosti dodavatele (SLA).</t>
  </si>
  <si>
    <t>Horká záloha (Hot Standby). Zajišťuje vysokou dostupnost, ale nechrání před logickým smazáním dat (např. ransomware).</t>
  </si>
  <si>
    <t>Chybí vícefaktorové ověření (MFA). Kompromitace jednoho notebooku správce znamená přístup k celé infrastruktuře.</t>
  </si>
  <si>
    <t>RISK-BACK-02</t>
  </si>
  <si>
    <t>Propagace logické chyby</t>
  </si>
  <si>
    <t>Implementovat "Studenou zálohu" (Offline/Immutable backup) – např. jednou denně snímek dat, na který nelze ze serveru sahat/mazat.</t>
  </si>
  <si>
    <t>RISK-NET-03</t>
  </si>
  <si>
    <t>Povinné zavedení MFA/2FA (např. mobilní autentizátor) pro všechny administrátorské přístupy přes VPN.</t>
  </si>
  <si>
    <t>Zneužití VPN přístupu</t>
  </si>
  <si>
    <t>Prověřit existenci Exit strategie (jak dostaneme naše data k sobě, kdyby dodavatel skončil) a zkontrolovat platnost SLA.</t>
  </si>
  <si>
    <t>SLA s dodavatelem</t>
  </si>
  <si>
    <t>Pokud dojde k logickému poškození dat (např. chyba v databázovém skriptu, lidský omyl při mazání nebo zašifrování ransomwarem), tato chyba se okamžitě přenese z hlavního serveru na záložní. Výsledkem jsou dvě identické kopie nepoužitelných dat.</t>
  </si>
  <si>
    <t>Real-time replikace dat na horkou zálohu (Hot Standby).</t>
  </si>
  <si>
    <t>Útočník získá přístupové údaje do VPN (phishingem, krádeží notebooku nebo odposlechem hesla). Vzhledem k absenci druhého faktoru (MFA) se může přihlásit do infrastruktury jako legitimní správce a získat plnou kontrolu nad backendem.</t>
  </si>
  <si>
    <t>Přístup přes VPN chráněný statickým uživatelským jménem a heslem.</t>
  </si>
  <si>
    <t>Datacentrum dodavatele</t>
  </si>
  <si>
    <t>APP-WEB-01</t>
  </si>
  <si>
    <t>Fleet Monitoring Web App</t>
  </si>
  <si>
    <t>Product Manager</t>
  </si>
  <si>
    <t>USR-DATA-01</t>
  </si>
  <si>
    <t>Uživatelské účty a profily</t>
  </si>
  <si>
    <t>Veřejně dostupná webová aplikace vystavená internetu. Zvýšená plocha útoku (OWASP Top 10). Nutnost pravidelného bezpečnostního testování a řízení zranitelností.</t>
  </si>
  <si>
    <t>RISK-APP-01</t>
  </si>
  <si>
    <t>RISK-USR-01</t>
  </si>
  <si>
    <t>RISK-USR-02</t>
  </si>
  <si>
    <t>Session Hijacking</t>
  </si>
  <si>
    <t>Útočník ukradne "přihlášenou relaci" uživatele (např. přes nezabezpečenou Wi-Fi v kavárně) a ovládne jeho účet bez znalosti hesla.</t>
  </si>
  <si>
    <t>"Ghost Users" (Neaktivní účty)</t>
  </si>
  <si>
    <t>Zaměstnanec zákazníka odejde ke konkurenci, ale jeho účet v aplikaci zůstane aktivní, protože nikdo nenahlásil jeho zablokování.</t>
  </si>
  <si>
    <t>Slabá hesla / Chybějící MFA</t>
  </si>
  <si>
    <t>Zákazník si nastaví heslo "Vlak123". Útočník ho snadno uhodne (brute force) a získá přístup k pohybu všech jeho lokomotiv.</t>
  </si>
  <si>
    <t>Žádná pravidla pro sílu hesla</t>
  </si>
  <si>
    <t>Implementace MFA i pro koncové zákazníky (zejména pro administrátorské účty zákazníka) a politika složitosti hesla.</t>
  </si>
  <si>
    <t>Ruční mazání uživatelů na žádost zákazníka.</t>
  </si>
  <si>
    <t>Šifrování celého provozu brání odposlechu "vstupenky" (session ID) na Wi-Fi.</t>
  </si>
  <si>
    <t>Zavedení smluvní povinnosti zákazníka nahlásit odchod pověřené osoby do 24 hodin. Kvartální revize uživatelů (poslat zákazníkovi seznam lidí s dotazem: "Opravdu tito lidé ještě u vás pracují?").</t>
  </si>
  <si>
    <t>Chybí privátní APN/VPN pro management přístup k jednotkám.</t>
  </si>
  <si>
    <t>Nedostatečná granularita nebo chybná konfigurace rolí. Chybí definovaná politika správy identit a rolí (IAM).</t>
  </si>
  <si>
    <t>Zavést privátní APN/VPN pro management přístup k jednotkám + politika silných hesel.</t>
  </si>
  <si>
    <t xml:space="preserve">1. Zavedení procesu pravidelné rotace hesla. 2. Implementace mTLS (Mutual TLS) pro vzájemné ověřování jednotky a serveru. </t>
  </si>
  <si>
    <t>Pokud uživatel není aktivní (např. 15 minut), systém ho automaticky odhlásí. Tím se zkracuje doba, po kterou je "vstupenka" platná. HTTPOnly + Secure flags pro cookies.</t>
  </si>
  <si>
    <t>POL-SEC-01</t>
  </si>
  <si>
    <t>Bezpečnostní politika</t>
  </si>
  <si>
    <t>Politika / Governance</t>
  </si>
  <si>
    <t>IT manager</t>
  </si>
  <si>
    <t>Interní dokumentace</t>
  </si>
  <si>
    <t>Governance kybernetické bezpečnosti</t>
  </si>
  <si>
    <t>Chybí formálně schválená bezpečnostní politika definující role, odpovědnosti a minimální bezpečnostní požadavky.</t>
  </si>
  <si>
    <t>PROC-IRM-01</t>
  </si>
  <si>
    <t>Incident Response Process</t>
  </si>
  <si>
    <t>Proces</t>
  </si>
  <si>
    <t>Není formálně definovaný proces reakce na kybernetické incidenty (eskalace, role, kontakty, reporting).</t>
  </si>
  <si>
    <t>Řízení bezpečnostních incidentů</t>
  </si>
  <si>
    <t>PROC-VULN-01</t>
  </si>
  <si>
    <t>Vulnerability Management Process</t>
  </si>
  <si>
    <t xml:space="preserve">Řízení zranitelností </t>
  </si>
  <si>
    <t>Chybí systematický proces vyhledávání, hodnocení a odstraňování zranitelností v aplikacích, API a infrastruktuře.</t>
  </si>
  <si>
    <t>Sběr telemetrických dat</t>
  </si>
  <si>
    <t>RISK-GOV-01</t>
  </si>
  <si>
    <t>RISK-IRM-01</t>
  </si>
  <si>
    <t>RISK-VULN-01</t>
  </si>
  <si>
    <t>Chybějící bezpečnostní governance</t>
  </si>
  <si>
    <t>Neřízená reakce na incident</t>
  </si>
  <si>
    <t>Neřízené zranitelnosti</t>
  </si>
  <si>
    <t>Neexistuje schválená bezpečnostní politika. Opatření jsou ad-hoc a odpovědnosti nejasné.</t>
  </si>
  <si>
    <t>Při kybernetickém incidentu není jasná eskalace, odpovědnosti ani komunikace se zákazníky a úřady. | Vysoký | Střední | Vysoká | Technický dohled infrastruktury | Zavést Incident Response plán včetně kontaktní matice a cvičení.</t>
  </si>
  <si>
    <t xml:space="preserve">Zranitelnosti v API, webu a backendu nejsou systematicky vyhledávány ani řízeny. </t>
  </si>
  <si>
    <t>Neformální ústní dohody a ad-hoc technická rozhodnutí.</t>
  </si>
  <si>
    <t>Vypracovat a nechat vedením schválit Informační bezpečnostní politiku (ISMS), která definuje role (CISO, Asset Owner) a základní pravidla.</t>
  </si>
  <si>
    <t>Náhodné aktualizace softwaru dodavatelem na vyžádání.</t>
  </si>
  <si>
    <t>Zavést Vulnerability Management proces: pravidelné skenování API a backendu (nástroji jako OWASP ZAP nebo Nessus) a stanovení lhůt pro opravy (např. kritická chyba do 48 hodin).</t>
  </si>
  <si>
    <t>Technický dohled infrastruktury (monitoring logů).</t>
  </si>
  <si>
    <t>Sepsat Směrnici pro řešení incidentů (kdo komu kdy volá) a vytvořit Kontaktní matici (dodavatel, ÚOOÚ, NÚKIB, zákazníci).</t>
  </si>
  <si>
    <t>RISK-IRM-02</t>
  </si>
  <si>
    <t>Nedostatečné logování aktivit (Lack of Logging)</t>
  </si>
  <si>
    <t>Systém neukládá dostatečné detaily o přístupech k API a aktivitách adminů ve VPN. Při incidentu nelze zpětně dohledat, co útočník ukradl nebo změnil.</t>
  </si>
  <si>
    <t>Logování pouze základních systémových chyb a času přihlášení do VPN.</t>
  </si>
  <si>
    <t>Zavést Centralizované logování (např. SIEM nebo ELK stack). Logovat každý úspěšný/neúspěšný přístup k API včetně ID objektu (lokomotivy), ke kterému se přistupovalo.</t>
  </si>
  <si>
    <t>Telemetrické jednotky typu A</t>
  </si>
  <si>
    <t>Firmware LOKO01 pro telemetrické jednotky typu A</t>
  </si>
  <si>
    <t>HTTPS pro konektivitu pro telemetrické jednotky typu A</t>
  </si>
  <si>
    <t>Data z telemetrických jednotek typu A</t>
  </si>
  <si>
    <t>Telemetry Data API (FLT)</t>
  </si>
  <si>
    <t>loko.flt.eu</t>
  </si>
  <si>
    <t>loko.flt.eu/api/v1</t>
  </si>
  <si>
    <t>Firma X, lokomotiva</t>
  </si>
  <si>
    <t>fleet.flt.eu (veřejné rozhraní)</t>
  </si>
  <si>
    <t>SIM karta pro konektivitu pro telemetrické jednotky typu A</t>
  </si>
  <si>
    <t>Strukturované soubory dat</t>
  </si>
  <si>
    <t>Pravidla a standardy řízení</t>
  </si>
  <si>
    <t>Koncový počítač uživatele</t>
  </si>
  <si>
    <t>Certifikáty a šifrovací klíče</t>
  </si>
  <si>
    <t>Senzory a měřicí zařízení</t>
  </si>
  <si>
    <t>Komunikační služby a protokoly</t>
  </si>
  <si>
    <t>Routery, switche a firewally</t>
  </si>
  <si>
    <t>Programové vybavení a firmware</t>
  </si>
  <si>
    <t>Sled činností k dosažení cíle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</si>
</sst>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1"/>
      <color rgb="FF1F2A44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2" tint="-0.89999084444715716"/>
      <name val="Calibri"/>
      <family val="2"/>
      <charset val="238"/>
      <scheme val="minor"/>
    </font>
    <font>
      <sz val="12"/>
      <color theme="1"/>
      <name val="Arial Unicode MS"/>
    </font>
    <font>
      <b/>
      <sz val="11"/>
      <color theme="3" tint="-0.499984740745262"/>
      <name val="Calibri"/>
      <family val="2"/>
      <charset val="238"/>
      <scheme val="minor"/>
    </font>
    <font>
      <b/>
      <sz val="15"/>
      <color theme="0"/>
      <name val="Calibri"/>
      <family val="2"/>
      <charset val="238"/>
      <scheme val="minor"/>
    </font>
    <font>
      <b/>
      <sz val="15"/>
      <color theme="0"/>
      <name val="Calibri Light"/>
      <family val="2"/>
      <charset val="238"/>
      <scheme val="major"/>
    </font>
    <font>
      <b/>
      <sz val="14"/>
      <color rgb="FF1F2A44"/>
      <name val="Calibri Light"/>
      <family val="2"/>
      <charset val="238"/>
      <scheme val="major"/>
    </font>
    <font>
      <b/>
      <sz val="12"/>
      <color theme="2" tint="-0.89999084444715716"/>
      <name val="Calibri Light"/>
      <family val="2"/>
      <charset val="238"/>
      <scheme val="major"/>
    </font>
    <font>
      <sz val="11"/>
      <color theme="1"/>
      <name val="Calibri Light"/>
      <family val="2"/>
      <charset val="238"/>
      <scheme val="major"/>
    </font>
    <font>
      <b/>
      <sz val="12"/>
      <color rgb="FF1F2A44"/>
      <name val="Calibri Light"/>
      <family val="2"/>
      <charset val="238"/>
      <scheme val="major"/>
    </font>
    <font>
      <b/>
      <sz val="12"/>
      <color theme="1"/>
      <name val="Calibri Light"/>
      <family val="2"/>
      <charset val="238"/>
      <scheme val="major"/>
    </font>
    <font>
      <sz val="1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D1E9FF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B2F5EA"/>
        <bgColor indexed="64"/>
      </patternFill>
    </fill>
    <fill>
      <patternFill patternType="solid">
        <fgColor rgb="FFE6FFFA"/>
        <bgColor indexed="64"/>
      </patternFill>
    </fill>
    <fill>
      <patternFill patternType="solid">
        <fgColor rgb="FFC6F6D5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E2E2B2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E9D8FD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FEFCB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EF2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ED7E2"/>
        <bgColor indexed="64"/>
      </patternFill>
    </fill>
    <fill>
      <patternFill patternType="solid">
        <fgColor rgb="FFFFF5F7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0" fillId="4" borderId="0" xfId="0" applyFill="1"/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3" fillId="2" borderId="0" xfId="0" applyFont="1" applyFill="1"/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2" fillId="5" borderId="0" xfId="0" applyFont="1" applyFill="1" applyAlignment="1">
      <alignment horizontal="center" vertical="top"/>
    </xf>
    <xf numFmtId="0" fontId="0" fillId="5" borderId="0" xfId="0" applyFill="1" applyAlignment="1">
      <alignment vertical="center" wrapText="1"/>
    </xf>
    <xf numFmtId="0" fontId="4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top"/>
    </xf>
    <xf numFmtId="0" fontId="0" fillId="6" borderId="0" xfId="0" applyFill="1" applyAlignment="1">
      <alignment vertical="center" wrapText="1"/>
    </xf>
    <xf numFmtId="0" fontId="12" fillId="7" borderId="0" xfId="0" applyFont="1" applyFill="1" applyAlignment="1">
      <alignment horizontal="center" vertical="top"/>
    </xf>
    <xf numFmtId="0" fontId="0" fillId="7" borderId="0" xfId="0" applyFill="1" applyAlignment="1">
      <alignment vertical="center" wrapText="1"/>
    </xf>
    <xf numFmtId="0" fontId="12" fillId="8" borderId="0" xfId="0" applyFont="1" applyFill="1" applyAlignment="1">
      <alignment horizontal="center" vertical="top"/>
    </xf>
    <xf numFmtId="0" fontId="0" fillId="8" borderId="0" xfId="0" applyFill="1" applyAlignment="1">
      <alignment vertical="center" wrapText="1"/>
    </xf>
    <xf numFmtId="0" fontId="12" fillId="9" borderId="0" xfId="0" applyFont="1" applyFill="1" applyAlignment="1">
      <alignment horizontal="center" vertical="top"/>
    </xf>
    <xf numFmtId="0" fontId="0" fillId="9" borderId="0" xfId="0" applyFill="1" applyAlignment="1">
      <alignment vertical="center" wrapText="1"/>
    </xf>
    <xf numFmtId="0" fontId="12" fillId="10" borderId="0" xfId="0" applyFont="1" applyFill="1" applyAlignment="1">
      <alignment horizontal="center" vertical="top"/>
    </xf>
    <xf numFmtId="0" fontId="0" fillId="10" borderId="0" xfId="0" applyFill="1" applyAlignment="1">
      <alignment vertical="center" wrapText="1"/>
    </xf>
    <xf numFmtId="0" fontId="12" fillId="11" borderId="0" xfId="0" applyFont="1" applyFill="1" applyAlignment="1">
      <alignment horizontal="center" vertical="top"/>
    </xf>
    <xf numFmtId="0" fontId="0" fillId="11" borderId="0" xfId="0" applyFill="1" applyAlignment="1">
      <alignment vertical="center" wrapText="1"/>
    </xf>
    <xf numFmtId="0" fontId="12" fillId="12" borderId="0" xfId="0" applyFont="1" applyFill="1" applyAlignment="1">
      <alignment horizontal="center" vertical="top"/>
    </xf>
    <xf numFmtId="0" fontId="0" fillId="12" borderId="0" xfId="0" applyFill="1" applyAlignment="1">
      <alignment vertical="center" wrapText="1"/>
    </xf>
    <xf numFmtId="0" fontId="12" fillId="13" borderId="0" xfId="0" applyFont="1" applyFill="1" applyAlignment="1">
      <alignment horizontal="center" vertical="top"/>
    </xf>
    <xf numFmtId="0" fontId="0" fillId="13" borderId="0" xfId="0" applyFill="1" applyAlignment="1">
      <alignment vertical="center" wrapText="1"/>
    </xf>
    <xf numFmtId="0" fontId="12" fillId="14" borderId="0" xfId="0" applyFont="1" applyFill="1" applyAlignment="1">
      <alignment horizontal="center" vertical="top"/>
    </xf>
    <xf numFmtId="0" fontId="0" fillId="14" borderId="0" xfId="0" applyFill="1" applyAlignment="1">
      <alignment vertical="center" wrapText="1"/>
    </xf>
    <xf numFmtId="0" fontId="12" fillId="15" borderId="0" xfId="0" applyFont="1" applyFill="1" applyAlignment="1">
      <alignment horizontal="center" vertical="top"/>
    </xf>
    <xf numFmtId="0" fontId="0" fillId="15" borderId="0" xfId="0" applyFill="1" applyAlignment="1">
      <alignment vertical="center" wrapText="1"/>
    </xf>
    <xf numFmtId="0" fontId="12" fillId="16" borderId="0" xfId="0" applyFont="1" applyFill="1" applyAlignment="1">
      <alignment horizontal="center" vertical="top"/>
    </xf>
    <xf numFmtId="0" fontId="0" fillId="16" borderId="0" xfId="0" applyFill="1" applyAlignment="1">
      <alignment vertical="center" wrapText="1"/>
    </xf>
    <xf numFmtId="0" fontId="12" fillId="17" borderId="0" xfId="0" applyFont="1" applyFill="1" applyAlignment="1">
      <alignment horizontal="center" vertical="top"/>
    </xf>
    <xf numFmtId="0" fontId="0" fillId="17" borderId="0" xfId="0" applyFill="1" applyAlignment="1">
      <alignment vertical="center" wrapText="1"/>
    </xf>
    <xf numFmtId="0" fontId="12" fillId="18" borderId="0" xfId="0" applyFont="1" applyFill="1" applyAlignment="1">
      <alignment horizontal="center" vertical="top"/>
    </xf>
    <xf numFmtId="0" fontId="0" fillId="18" borderId="0" xfId="0" applyFill="1" applyAlignment="1">
      <alignment vertical="center" wrapText="1"/>
    </xf>
    <xf numFmtId="0" fontId="12" fillId="19" borderId="0" xfId="0" applyFont="1" applyFill="1" applyAlignment="1">
      <alignment horizontal="center" vertical="top"/>
    </xf>
    <xf numFmtId="0" fontId="0" fillId="19" borderId="0" xfId="0" applyFill="1" applyAlignment="1">
      <alignment vertical="center" wrapText="1"/>
    </xf>
    <xf numFmtId="0" fontId="12" fillId="20" borderId="0" xfId="0" applyFont="1" applyFill="1" applyAlignment="1">
      <alignment horizontal="center" vertical="top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12" fillId="21" borderId="0" xfId="0" applyFont="1" applyFill="1" applyAlignment="1">
      <alignment horizontal="center" vertical="top"/>
    </xf>
    <xf numFmtId="0" fontId="12" fillId="22" borderId="0" xfId="0" applyFont="1" applyFill="1" applyAlignment="1">
      <alignment horizontal="center" vertical="top"/>
    </xf>
    <xf numFmtId="0" fontId="0" fillId="22" borderId="0" xfId="0" applyFill="1" applyAlignment="1">
      <alignment vertical="center" wrapText="1"/>
    </xf>
    <xf numFmtId="0" fontId="12" fillId="23" borderId="0" xfId="0" applyFont="1" applyFill="1" applyAlignment="1">
      <alignment horizontal="center" vertical="top" wrapText="1"/>
    </xf>
    <xf numFmtId="0" fontId="0" fillId="23" borderId="0" xfId="0" applyFill="1" applyAlignment="1">
      <alignment vertical="center" wrapText="1"/>
    </xf>
    <xf numFmtId="0" fontId="12" fillId="24" borderId="0" xfId="0" applyFont="1" applyFill="1" applyAlignment="1">
      <alignment horizontal="center" vertical="top"/>
    </xf>
    <xf numFmtId="0" fontId="0" fillId="24" borderId="0" xfId="0" applyFill="1" applyAlignment="1">
      <alignment vertical="center" wrapText="1"/>
    </xf>
    <xf numFmtId="0" fontId="12" fillId="25" borderId="0" xfId="0" applyFont="1" applyFill="1" applyAlignment="1">
      <alignment horizontal="center" vertical="top"/>
    </xf>
    <xf numFmtId="0" fontId="0" fillId="25" borderId="0" xfId="0" applyFill="1" applyAlignment="1">
      <alignment vertical="center" wrapText="1"/>
    </xf>
    <xf numFmtId="0" fontId="12" fillId="26" borderId="0" xfId="0" applyFont="1" applyFill="1" applyAlignment="1">
      <alignment horizontal="center" vertical="top"/>
    </xf>
    <xf numFmtId="0" fontId="0" fillId="26" borderId="0" xfId="0" applyFill="1" applyAlignment="1">
      <alignment vertical="center" wrapText="1"/>
    </xf>
    <xf numFmtId="0" fontId="12" fillId="27" borderId="0" xfId="0" applyFont="1" applyFill="1" applyAlignment="1">
      <alignment horizontal="center" vertical="top"/>
    </xf>
    <xf numFmtId="0" fontId="0" fillId="27" borderId="0" xfId="0" applyFill="1" applyAlignment="1">
      <alignment vertical="center" wrapText="1"/>
    </xf>
    <xf numFmtId="0" fontId="12" fillId="28" borderId="0" xfId="0" applyFont="1" applyFill="1" applyAlignment="1">
      <alignment horizontal="center" vertical="top"/>
    </xf>
    <xf numFmtId="0" fontId="0" fillId="28" borderId="0" xfId="0" applyFill="1" applyAlignment="1">
      <alignment vertical="center" wrapText="1"/>
    </xf>
    <xf numFmtId="0" fontId="0" fillId="0" borderId="0" xfId="0" applyProtection="1"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indent="1"/>
    </xf>
    <xf numFmtId="0" fontId="4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9" borderId="0" xfId="0" applyFill="1"/>
    <xf numFmtId="0" fontId="13" fillId="0" borderId="0" xfId="0" applyFont="1" applyAlignment="1">
      <alignment vertical="center"/>
    </xf>
    <xf numFmtId="0" fontId="0" fillId="30" borderId="0" xfId="0" applyFill="1"/>
    <xf numFmtId="0" fontId="0" fillId="14" borderId="0" xfId="0" applyFill="1"/>
    <xf numFmtId="14" fontId="0" fillId="0" borderId="0" xfId="0" applyNumberFormat="1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0" fontId="0" fillId="0" borderId="0" xfId="0" applyAlignment="1" applyProtection="1">
      <alignment horizontal="left"/>
      <protection locked="0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left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</cellXfs>
  <cellStyles count="1">
    <cellStyle name="Normální" xfId="0" builtinId="0"/>
  </cellStyles>
  <dxfs count="32"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D4EDDA"/>
        </patternFill>
      </fill>
    </dxf>
    <dxf>
      <fill>
        <patternFill>
          <bgColor rgb="FFFFE5B4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BF8FF"/>
      <color rgb="FFD1E9FF"/>
      <color rgb="FFFDF5E6"/>
      <color rgb="FFF5DEB3"/>
      <color rgb="FFFFFAF0"/>
      <color rgb="FFFFF5F5"/>
      <color rgb="FFFFE699"/>
      <color rgb="FF1F2A44"/>
      <color rgb="FFFFF8DC"/>
      <color rgb="FFEEDC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35171E-D5A7-43B4-A726-AAFE20844B88}" name="TabulkaAssety" displayName="TabulkaAssety" ref="A1:A1048576" totalsRowShown="0" headerRowDxfId="31" dataDxfId="29" headerRowBorderDxfId="30" tableBorderDxfId="28">
  <tableColumns count="1">
    <tableColumn id="1" xr3:uid="{E04B419E-1BAD-4523-83B5-8E831F059F13}" name="Asset ID Jednoznačný identifikátor" dataDxfId="27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D7831B-0F22-45C9-9599-834447F7A48D}" name="Tabulka11" displayName="Tabulka11" ref="A1:C53" totalsRowShown="0" headerRowDxfId="26" headerRowBorderDxfId="25" tableBorderDxfId="24">
  <autoFilter ref="A1:C53" xr:uid="{59D7831B-0F22-45C9-9599-834447F7A48D}"/>
  <tableColumns count="3">
    <tableColumn id="1" xr3:uid="{C8C9D8B4-2153-4BFC-A644-69388D70100E}" name="Sloupec" dataDxfId="23"/>
    <tableColumn id="2" xr3:uid="{C8D7F7E8-0EF3-4ABD-918B-EC93DAB7459A}" name="Hodnota" dataDxfId="22"/>
    <tableColumn id="3" xr3:uid="{7088100F-B92A-466B-A47D-CD987F605E5A}" name="Význam / Definic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4382CE-320A-498B-BE37-EE2A1E3EBD70}" name="Tabulka1116" displayName="Tabulka1116" ref="A1:C26" totalsRowShown="0" headerRowDxfId="20" headerRowBorderDxfId="19" tableBorderDxfId="18">
  <autoFilter ref="A1:C26" xr:uid="{D64382CE-320A-498B-BE37-EE2A1E3EBD70}"/>
  <tableColumns count="3">
    <tableColumn id="1" xr3:uid="{65A7E7B8-190D-4621-9480-23B358B6DDB4}" name="Sloupec" dataDxfId="17"/>
    <tableColumn id="2" xr3:uid="{5EB5F07F-675D-4B2B-B39A-8760C7D60F0A}" name="Hodnota" dataDxfId="16"/>
    <tableColumn id="3" xr3:uid="{D45EC834-70CC-412C-AEA4-0236E3E04CD9}" name="Význam / Definic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F486D4-5743-47BB-A91D-8E938D0A61BB}" name="TabulkaTypAktiva" displayName="TabulkaTypAktiva" ref="A1:A4" totalsRowShown="0">
  <autoFilter ref="A1:A4" xr:uid="{0AF486D4-5743-47BB-A91D-8E938D0A61BB}"/>
  <tableColumns count="1">
    <tableColumn id="1" xr3:uid="{639386C7-F5C1-48CB-9ABB-D7E2B17E4FC5}" name="Typ aktiv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2EF69-4720-4FDE-88E1-F10CD1638963}" name="TabulkaKategorie" displayName="TabulkaKategorie" ref="B1:B15" totalsRowShown="0">
  <autoFilter ref="B1:B15" xr:uid="{F542EF69-4720-4FDE-88E1-F10CD1638963}"/>
  <tableColumns count="1">
    <tableColumn id="1" xr3:uid="{092A8655-D17C-4159-98B4-1023346EAC0D}" name="Kategor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874202-5529-4AD0-A5BD-6E5A2CBF5683}" name="TabulkaOddělení" displayName="TabulkaOddělení" ref="C1:C5" totalsRowShown="0">
  <autoFilter ref="C1:C5" xr:uid="{9F874202-5529-4AD0-A5BD-6E5A2CBF5683}"/>
  <tableColumns count="1">
    <tableColumn id="1" xr3:uid="{196C8A06-73ED-402F-9D91-EF1D466D9FB8}" name="Oddělen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260ED-EA21-4006-933A-95E0854479D3}" name="TabulkaCIA" displayName="TabulkaCIA" ref="E1:E4" totalsRowShown="0">
  <autoFilter ref="E1:E4" xr:uid="{23B260ED-EA21-4006-933A-95E0854479D3}"/>
  <tableColumns count="1">
    <tableColumn id="1" xr3:uid="{B34D2654-6C24-4D26-93E3-5E73BA6EEFEC}" name="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0AFDB-92A7-4FE2-9595-58DFCBC6DE80}" name="TabulkaSíť" displayName="TabulkaSíť" ref="F1:F5" totalsRowShown="0">
  <autoFilter ref="F1:F5" xr:uid="{3E40AFDB-92A7-4FE2-9595-58DFCBC6DE80}"/>
  <tableColumns count="1">
    <tableColumn id="1" xr3:uid="{C416BBA1-9608-44AB-AE21-DCA8F520623F}" name="Síť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92C26E-BF6D-47BC-A19B-03DA3DB48A4E}" name="TabulkaPřístup" displayName="TabulkaPřístup" ref="G1:G5" totalsRowShown="0">
  <autoFilter ref="G1:G5" xr:uid="{9D92C26E-BF6D-47BC-A19B-03DA3DB48A4E}"/>
  <tableColumns count="1">
    <tableColumn id="1" xr3:uid="{F35DA9B2-93CE-464E-AF42-67BEC07A2964}" name="Přístu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DC293B-0333-4D89-8B04-4A2A2D44F34C}" name="TabulkaZálohování" displayName="TabulkaZálohování" ref="H1:H4" totalsRowShown="0">
  <autoFilter ref="H1:H4" xr:uid="{6EDC293B-0333-4D89-8B04-4A2A2D44F34C}"/>
  <tableColumns count="1">
    <tableColumn id="1" xr3:uid="{213367C3-FBE3-4E30-9661-AD0FC4A1C820}" name="Zálohování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F5C50C-60FB-4B0D-B95D-287338020936}" name="TabulkaPoznámka" displayName="TabulkaPoznámka" ref="J1:J5" totalsRowShown="0">
  <autoFilter ref="J1:J5" xr:uid="{D5F5C50C-60FB-4B0D-B95D-287338020936}"/>
  <tableColumns count="1">
    <tableColumn id="1" xr3:uid="{0696DF64-A500-4273-804C-1034132AAA89}" name="TypPoznámk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E3B-8D77-4D1E-9CEC-2CF5FA46E14A}" name="TabulkaStavAktiva" displayName="TabulkaStavAktiva" ref="D1:D5" totalsRowShown="0">
  <autoFilter ref="D1:D5" xr:uid="{D4CA1E3B-8D77-4D1E-9CEC-2CF5FA46E14A}"/>
  <tableColumns count="1">
    <tableColumn id="1" xr3:uid="{65DE3AC9-5969-4485-971A-6203F1B04E68}" name="StavAktiv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FFCFE5-1077-4F70-83F4-1A01E5E8077C}" name="TabulkaAktualizace" displayName="TabulkaAktualizace" ref="I1:I4" totalsRowShown="0">
  <autoFilter ref="I1:I4" xr:uid="{05FFCFE5-1077-4F70-83F4-1A01E5E8077C}"/>
  <tableColumns count="1">
    <tableColumn id="1" xr3:uid="{BC760E0E-86B1-4647-85A1-ABC221F3204E}" name="Aktualiza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5E3C16-14DE-4150-B98F-16F63A337BA1}" name="TabulkaStav" displayName="TabulkaStav" ref="C1:C5" totalsRowShown="0">
  <autoFilter ref="C1:C5" xr:uid="{9D236D8E-4398-4319-8558-4309828FCC61}"/>
  <tableColumns count="1">
    <tableColumn id="1" xr3:uid="{74CD76F4-9636-4BB6-91DB-0A20AC24C75E}" name="Stav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98D8EC-38B2-44D1-A6FA-9052EFF29B0E}" name="TabulkaDopad" displayName="TabulkaDopad" ref="A1:B4" totalsRowShown="0">
  <autoFilter ref="A1:B4" xr:uid="{F9753FF0-1768-4F5E-A46E-07191B82FC9C}"/>
  <tableColumns count="2">
    <tableColumn id="1" xr3:uid="{0291808F-D450-4EF6-9DFB-D8D900456B7A}" name="Riziko"/>
    <tableColumn id="2" xr3:uid="{371DADFE-0E7F-434C-9C36-522C3346CC94}" name="Dop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7653-E48E-4F9F-AA53-3F636A9FA15E}">
  <dimension ref="A1:T1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3" sqref="D13"/>
    </sheetView>
  </sheetViews>
  <sheetFormatPr defaultRowHeight="15"/>
  <cols>
    <col min="1" max="1" width="16.28515625" style="89" customWidth="1"/>
    <col min="2" max="2" width="27.28515625" style="89" customWidth="1"/>
    <col min="3" max="3" width="16.28515625" style="2" customWidth="1"/>
    <col min="4" max="4" width="14.85546875" style="89" customWidth="1"/>
    <col min="5" max="5" width="16.28515625" style="89" customWidth="1"/>
    <col min="6" max="6" width="16.28515625" style="2" customWidth="1"/>
    <col min="7" max="7" width="16.28515625" style="89" customWidth="1"/>
    <col min="8" max="16" width="16.28515625" style="2" customWidth="1"/>
    <col min="17" max="17" width="16.28515625" style="3" customWidth="1"/>
    <col min="18" max="18" width="23.42578125" style="89" customWidth="1"/>
    <col min="19" max="19" width="16.28515625" style="2" customWidth="1"/>
    <col min="20" max="20" width="16.28515625" style="89" customWidth="1"/>
  </cols>
  <sheetData>
    <row r="1" spans="1:20" s="1" customFormat="1" ht="66.75" customHeight="1">
      <c r="A1" s="81" t="s">
        <v>124</v>
      </c>
      <c r="B1" s="12" t="s">
        <v>125</v>
      </c>
      <c r="C1" s="13" t="s">
        <v>126</v>
      </c>
      <c r="D1" s="12" t="s">
        <v>127</v>
      </c>
      <c r="E1" s="12" t="s">
        <v>128</v>
      </c>
      <c r="F1" s="12" t="s">
        <v>129</v>
      </c>
      <c r="G1" s="12" t="s">
        <v>130</v>
      </c>
      <c r="H1" s="12" t="s">
        <v>222</v>
      </c>
      <c r="I1" s="12" t="s">
        <v>221</v>
      </c>
      <c r="J1" s="12" t="s">
        <v>131</v>
      </c>
      <c r="K1" s="12" t="s">
        <v>132</v>
      </c>
      <c r="L1" s="12" t="s">
        <v>133</v>
      </c>
      <c r="M1" s="12" t="s">
        <v>134</v>
      </c>
      <c r="N1" s="12" t="s">
        <v>135</v>
      </c>
      <c r="O1" s="12" t="s">
        <v>136</v>
      </c>
      <c r="P1" s="12" t="s">
        <v>137</v>
      </c>
      <c r="Q1" s="12" t="s">
        <v>138</v>
      </c>
      <c r="R1" s="12" t="s">
        <v>139</v>
      </c>
      <c r="S1" s="12" t="s">
        <v>227</v>
      </c>
      <c r="T1" s="13" t="s">
        <v>228</v>
      </c>
    </row>
    <row r="2" spans="1:20">
      <c r="A2" s="89" t="s">
        <v>346</v>
      </c>
      <c r="B2" s="104" t="s">
        <v>500</v>
      </c>
      <c r="C2" s="2" t="s">
        <v>2</v>
      </c>
      <c r="D2" s="89" t="s">
        <v>8</v>
      </c>
      <c r="E2" s="89" t="s">
        <v>371</v>
      </c>
      <c r="F2" s="2" t="s">
        <v>0</v>
      </c>
      <c r="G2" s="104" t="s">
        <v>507</v>
      </c>
      <c r="H2" s="2" t="s">
        <v>37</v>
      </c>
      <c r="I2" s="2" t="s">
        <v>17</v>
      </c>
      <c r="J2" s="2" t="s">
        <v>16</v>
      </c>
      <c r="K2" s="2" t="s">
        <v>17</v>
      </c>
      <c r="L2" s="2" t="s">
        <v>17</v>
      </c>
      <c r="M2" s="2" t="s">
        <v>21</v>
      </c>
      <c r="N2" s="2" t="s">
        <v>25</v>
      </c>
      <c r="O2" s="2" t="s">
        <v>30</v>
      </c>
      <c r="P2" s="2" t="s">
        <v>43</v>
      </c>
      <c r="Q2" s="3">
        <v>46034</v>
      </c>
      <c r="R2" s="89" t="s">
        <v>479</v>
      </c>
      <c r="S2" s="2" t="s">
        <v>34</v>
      </c>
      <c r="T2" s="89" t="s">
        <v>458</v>
      </c>
    </row>
    <row r="3" spans="1:20">
      <c r="A3" s="89" t="s">
        <v>369</v>
      </c>
      <c r="B3" s="104" t="s">
        <v>501</v>
      </c>
      <c r="C3" s="2" t="s">
        <v>0</v>
      </c>
      <c r="D3" s="89" t="s">
        <v>359</v>
      </c>
      <c r="E3" s="89" t="s">
        <v>360</v>
      </c>
      <c r="F3" s="2" t="s">
        <v>0</v>
      </c>
      <c r="G3" s="104" t="s">
        <v>507</v>
      </c>
      <c r="H3" s="2" t="s">
        <v>37</v>
      </c>
      <c r="I3" s="2" t="s">
        <v>17</v>
      </c>
      <c r="J3" s="2" t="s">
        <v>16</v>
      </c>
      <c r="K3" s="2" t="s">
        <v>17</v>
      </c>
      <c r="L3" s="2" t="s">
        <v>17</v>
      </c>
      <c r="M3" s="2" t="s">
        <v>22</v>
      </c>
      <c r="N3" s="2" t="s">
        <v>25</v>
      </c>
      <c r="O3" s="2" t="s">
        <v>29</v>
      </c>
      <c r="P3" s="2" t="s">
        <v>43</v>
      </c>
      <c r="Q3" s="3">
        <v>46034</v>
      </c>
      <c r="R3" s="89" t="s">
        <v>479</v>
      </c>
      <c r="S3" s="2" t="s">
        <v>32</v>
      </c>
      <c r="T3" s="89" t="s">
        <v>361</v>
      </c>
    </row>
    <row r="4" spans="1:20">
      <c r="A4" s="89" t="s">
        <v>372</v>
      </c>
      <c r="B4" s="89" t="s">
        <v>509</v>
      </c>
      <c r="C4" s="2" t="s">
        <v>1</v>
      </c>
      <c r="D4" s="89" t="s">
        <v>47</v>
      </c>
      <c r="E4" s="89" t="s">
        <v>370</v>
      </c>
      <c r="F4" s="2" t="s">
        <v>0</v>
      </c>
      <c r="G4" s="104" t="s">
        <v>375</v>
      </c>
      <c r="H4" s="2" t="s">
        <v>37</v>
      </c>
      <c r="I4" s="2" t="s">
        <v>17</v>
      </c>
      <c r="J4" s="2" t="s">
        <v>17</v>
      </c>
      <c r="K4" s="2" t="s">
        <v>16</v>
      </c>
      <c r="L4" s="2" t="s">
        <v>16</v>
      </c>
      <c r="M4" s="2" t="s">
        <v>21</v>
      </c>
      <c r="N4" s="2" t="s">
        <v>25</v>
      </c>
      <c r="O4" s="2" t="s">
        <v>30</v>
      </c>
      <c r="P4" s="2" t="s">
        <v>44</v>
      </c>
      <c r="Q4" s="3">
        <v>46034</v>
      </c>
      <c r="R4" s="89" t="s">
        <v>479</v>
      </c>
      <c r="S4" s="2" t="s">
        <v>32</v>
      </c>
      <c r="T4" s="89" t="s">
        <v>373</v>
      </c>
    </row>
    <row r="5" spans="1:20">
      <c r="A5" s="89" t="s">
        <v>374</v>
      </c>
      <c r="B5" s="104" t="s">
        <v>502</v>
      </c>
      <c r="C5" s="2" t="s">
        <v>0</v>
      </c>
      <c r="D5" s="89" t="s">
        <v>390</v>
      </c>
      <c r="E5" s="89" t="s">
        <v>370</v>
      </c>
      <c r="F5" s="2" t="s">
        <v>0</v>
      </c>
      <c r="G5" s="104" t="s">
        <v>376</v>
      </c>
      <c r="H5" s="2" t="s">
        <v>37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21</v>
      </c>
      <c r="N5" s="2" t="s">
        <v>25</v>
      </c>
      <c r="O5" s="2" t="s">
        <v>30</v>
      </c>
      <c r="P5" s="2" t="s">
        <v>44</v>
      </c>
      <c r="Q5" s="3">
        <v>46034</v>
      </c>
      <c r="R5" s="89" t="s">
        <v>479</v>
      </c>
      <c r="S5" s="2" t="s">
        <v>34</v>
      </c>
      <c r="T5" s="89" t="s">
        <v>377</v>
      </c>
    </row>
    <row r="6" spans="1:20">
      <c r="A6" s="89" t="s">
        <v>388</v>
      </c>
      <c r="B6" s="104" t="s">
        <v>503</v>
      </c>
      <c r="C6" s="2" t="s">
        <v>0</v>
      </c>
      <c r="D6" s="89" t="s">
        <v>393</v>
      </c>
      <c r="E6" s="89" t="s">
        <v>371</v>
      </c>
      <c r="F6" s="2" t="s">
        <v>0</v>
      </c>
      <c r="G6" s="104" t="s">
        <v>505</v>
      </c>
      <c r="H6" s="2" t="s">
        <v>37</v>
      </c>
      <c r="I6" s="2" t="s">
        <v>17</v>
      </c>
      <c r="J6" s="2" t="s">
        <v>16</v>
      </c>
      <c r="K6" s="2" t="s">
        <v>17</v>
      </c>
      <c r="L6" s="2" t="s">
        <v>17</v>
      </c>
      <c r="M6" s="2" t="s">
        <v>21</v>
      </c>
      <c r="N6" s="2" t="s">
        <v>25</v>
      </c>
      <c r="O6" s="2" t="s">
        <v>28</v>
      </c>
      <c r="P6" s="2" t="s">
        <v>44</v>
      </c>
      <c r="Q6" s="3">
        <v>46035</v>
      </c>
      <c r="R6" s="89" t="s">
        <v>479</v>
      </c>
      <c r="S6" s="2" t="s">
        <v>34</v>
      </c>
      <c r="T6" s="89" t="s">
        <v>395</v>
      </c>
    </row>
    <row r="7" spans="1:20">
      <c r="A7" s="89" t="s">
        <v>401</v>
      </c>
      <c r="B7" s="104" t="s">
        <v>504</v>
      </c>
      <c r="C7" s="2" t="s">
        <v>0</v>
      </c>
      <c r="D7" s="89" t="s">
        <v>9</v>
      </c>
      <c r="E7" s="89" t="s">
        <v>360</v>
      </c>
      <c r="F7" s="2" t="s">
        <v>0</v>
      </c>
      <c r="G7" s="104" t="s">
        <v>506</v>
      </c>
      <c r="H7" s="2" t="s">
        <v>37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21</v>
      </c>
      <c r="N7" s="2" t="s">
        <v>25</v>
      </c>
      <c r="O7" s="2" t="s">
        <v>30</v>
      </c>
      <c r="P7" s="2" t="s">
        <v>44</v>
      </c>
      <c r="Q7" s="3">
        <v>46035</v>
      </c>
      <c r="R7" s="89" t="s">
        <v>479</v>
      </c>
      <c r="S7" s="2" t="s">
        <v>34</v>
      </c>
      <c r="T7" s="89" t="s">
        <v>408</v>
      </c>
    </row>
    <row r="8" spans="1:20">
      <c r="A8" s="89" t="s">
        <v>412</v>
      </c>
      <c r="B8" s="89" t="s">
        <v>415</v>
      </c>
      <c r="C8" s="2" t="s">
        <v>0</v>
      </c>
      <c r="D8" s="89" t="s">
        <v>4</v>
      </c>
      <c r="E8" s="89" t="s">
        <v>413</v>
      </c>
      <c r="F8" s="2" t="s">
        <v>14</v>
      </c>
      <c r="G8" s="104" t="s">
        <v>437</v>
      </c>
      <c r="H8" s="2" t="s">
        <v>37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21</v>
      </c>
      <c r="N8" s="2" t="s">
        <v>26</v>
      </c>
      <c r="O8" s="2" t="s">
        <v>28</v>
      </c>
      <c r="P8" s="2" t="s">
        <v>44</v>
      </c>
      <c r="Q8" s="3">
        <v>46035</v>
      </c>
      <c r="R8" s="89" t="s">
        <v>479</v>
      </c>
      <c r="S8" s="2" t="s">
        <v>32</v>
      </c>
      <c r="T8" s="89" t="s">
        <v>422</v>
      </c>
    </row>
    <row r="9" spans="1:20">
      <c r="A9" s="89" t="s">
        <v>414</v>
      </c>
      <c r="B9" s="89" t="s">
        <v>416</v>
      </c>
      <c r="C9" s="2" t="s">
        <v>0</v>
      </c>
      <c r="D9" s="89" t="s">
        <v>4</v>
      </c>
      <c r="E9" s="89" t="s">
        <v>413</v>
      </c>
      <c r="F9" s="2" t="s">
        <v>14</v>
      </c>
      <c r="G9" s="89" t="s">
        <v>437</v>
      </c>
      <c r="H9" s="2" t="s">
        <v>37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21</v>
      </c>
      <c r="N9" s="2" t="s">
        <v>26</v>
      </c>
      <c r="O9" s="2" t="s">
        <v>28</v>
      </c>
      <c r="P9" s="2" t="s">
        <v>44</v>
      </c>
      <c r="Q9" s="3">
        <v>46035</v>
      </c>
      <c r="R9" s="89" t="s">
        <v>479</v>
      </c>
      <c r="S9" s="2" t="s">
        <v>32</v>
      </c>
      <c r="T9" s="89" t="s">
        <v>423</v>
      </c>
    </row>
    <row r="10" spans="1:20">
      <c r="A10" s="89" t="s">
        <v>417</v>
      </c>
      <c r="B10" s="89" t="s">
        <v>418</v>
      </c>
      <c r="C10" s="2" t="s">
        <v>0</v>
      </c>
      <c r="D10" s="89" t="s">
        <v>390</v>
      </c>
      <c r="E10" s="89" t="s">
        <v>413</v>
      </c>
      <c r="F10" s="2" t="s">
        <v>14</v>
      </c>
      <c r="G10" s="89" t="s">
        <v>437</v>
      </c>
      <c r="H10" s="2" t="s">
        <v>37</v>
      </c>
      <c r="I10" s="2" t="s">
        <v>17</v>
      </c>
      <c r="J10" s="2" t="s">
        <v>16</v>
      </c>
      <c r="K10" s="2" t="s">
        <v>16</v>
      </c>
      <c r="L10" s="2" t="s">
        <v>17</v>
      </c>
      <c r="M10" s="2" t="s">
        <v>21</v>
      </c>
      <c r="N10" s="2" t="s">
        <v>26</v>
      </c>
      <c r="O10" s="2" t="s">
        <v>30</v>
      </c>
      <c r="P10" s="2" t="s">
        <v>42</v>
      </c>
      <c r="Q10" s="3">
        <v>46035</v>
      </c>
      <c r="R10" s="89" t="s">
        <v>479</v>
      </c>
      <c r="S10" s="2" t="s">
        <v>34</v>
      </c>
      <c r="T10" s="89" t="s">
        <v>424</v>
      </c>
    </row>
    <row r="11" spans="1:20">
      <c r="A11" s="89" t="s">
        <v>438</v>
      </c>
      <c r="B11" s="89" t="s">
        <v>439</v>
      </c>
      <c r="C11" s="2" t="s">
        <v>0</v>
      </c>
      <c r="D11" s="89" t="s">
        <v>392</v>
      </c>
      <c r="E11" s="89" t="s">
        <v>440</v>
      </c>
      <c r="F11" s="2" t="s">
        <v>0</v>
      </c>
      <c r="G11" s="104" t="s">
        <v>508</v>
      </c>
      <c r="H11" s="2" t="s">
        <v>37</v>
      </c>
      <c r="I11" s="2" t="s">
        <v>17</v>
      </c>
      <c r="J11" s="2" t="s">
        <v>17</v>
      </c>
      <c r="K11" s="2" t="s">
        <v>16</v>
      </c>
      <c r="L11" s="2" t="s">
        <v>17</v>
      </c>
      <c r="M11" s="2" t="s">
        <v>21</v>
      </c>
      <c r="N11" s="2" t="s">
        <v>25</v>
      </c>
      <c r="O11" s="2" t="s">
        <v>28</v>
      </c>
      <c r="P11" s="2" t="s">
        <v>42</v>
      </c>
      <c r="Q11" s="3">
        <v>46036</v>
      </c>
      <c r="R11" s="89" t="s">
        <v>479</v>
      </c>
      <c r="S11" s="2" t="s">
        <v>32</v>
      </c>
      <c r="T11" s="89" t="s">
        <v>443</v>
      </c>
    </row>
    <row r="12" spans="1:20">
      <c r="A12" s="89" t="s">
        <v>441</v>
      </c>
      <c r="B12" s="89" t="s">
        <v>442</v>
      </c>
      <c r="C12" s="2" t="s">
        <v>0</v>
      </c>
      <c r="D12" s="89" t="s">
        <v>393</v>
      </c>
      <c r="E12" s="89" t="s">
        <v>371</v>
      </c>
      <c r="F12" s="2" t="s">
        <v>0</v>
      </c>
      <c r="G12" s="89" t="s">
        <v>437</v>
      </c>
      <c r="H12" s="2" t="s">
        <v>37</v>
      </c>
      <c r="I12" s="2" t="s">
        <v>17</v>
      </c>
      <c r="J12" s="2" t="s">
        <v>16</v>
      </c>
      <c r="K12" s="2" t="s">
        <v>17</v>
      </c>
      <c r="L12" s="2" t="s">
        <v>17</v>
      </c>
      <c r="M12" s="2" t="s">
        <v>21</v>
      </c>
      <c r="N12" s="2" t="s">
        <v>25</v>
      </c>
      <c r="O12" s="2" t="s">
        <v>28</v>
      </c>
      <c r="P12" s="2" t="s">
        <v>44</v>
      </c>
      <c r="Q12" s="3">
        <v>46036</v>
      </c>
      <c r="R12" s="89" t="s">
        <v>479</v>
      </c>
      <c r="S12" s="2" t="s">
        <v>32</v>
      </c>
      <c r="T12" s="89" t="s">
        <v>459</v>
      </c>
    </row>
    <row r="13" spans="1:20">
      <c r="A13" s="89" t="s">
        <v>463</v>
      </c>
      <c r="B13" s="89" t="s">
        <v>464</v>
      </c>
      <c r="C13" s="2" t="s">
        <v>0</v>
      </c>
      <c r="D13" s="89" t="s">
        <v>465</v>
      </c>
      <c r="E13" s="89" t="s">
        <v>466</v>
      </c>
      <c r="F13" s="2" t="s">
        <v>0</v>
      </c>
      <c r="G13" s="89" t="s">
        <v>467</v>
      </c>
      <c r="H13" s="2" t="s">
        <v>37</v>
      </c>
      <c r="I13" s="2" t="s">
        <v>17</v>
      </c>
      <c r="J13" s="2" t="s">
        <v>16</v>
      </c>
      <c r="K13" s="2" t="s">
        <v>17</v>
      </c>
      <c r="L13" s="2" t="s">
        <v>16</v>
      </c>
      <c r="M13" s="2" t="s">
        <v>22</v>
      </c>
      <c r="N13" s="2" t="s">
        <v>24</v>
      </c>
      <c r="O13" s="2" t="s">
        <v>30</v>
      </c>
      <c r="P13" s="2" t="s">
        <v>43</v>
      </c>
      <c r="Q13" s="3">
        <v>46036</v>
      </c>
      <c r="R13" s="89" t="s">
        <v>468</v>
      </c>
      <c r="S13" s="2" t="s">
        <v>32</v>
      </c>
      <c r="T13" s="89" t="s">
        <v>469</v>
      </c>
    </row>
    <row r="14" spans="1:20">
      <c r="A14" s="89" t="s">
        <v>470</v>
      </c>
      <c r="B14" s="89" t="s">
        <v>471</v>
      </c>
      <c r="C14" s="2" t="s">
        <v>0</v>
      </c>
      <c r="D14" s="89" t="s">
        <v>472</v>
      </c>
      <c r="E14" s="89" t="s">
        <v>466</v>
      </c>
      <c r="F14" s="2" t="s">
        <v>0</v>
      </c>
      <c r="G14" s="89" t="s">
        <v>467</v>
      </c>
      <c r="H14" s="2" t="s">
        <v>37</v>
      </c>
      <c r="I14" s="2" t="s">
        <v>17</v>
      </c>
      <c r="J14" s="2" t="s">
        <v>17</v>
      </c>
      <c r="K14" s="2" t="s">
        <v>16</v>
      </c>
      <c r="L14" s="2" t="s">
        <v>16</v>
      </c>
      <c r="M14" s="2" t="s">
        <v>22</v>
      </c>
      <c r="N14" s="2" t="s">
        <v>24</v>
      </c>
      <c r="O14" s="2" t="s">
        <v>30</v>
      </c>
      <c r="P14" s="2" t="s">
        <v>43</v>
      </c>
      <c r="Q14" s="3">
        <v>46036</v>
      </c>
      <c r="R14" s="89" t="s">
        <v>474</v>
      </c>
      <c r="S14" s="2" t="s">
        <v>32</v>
      </c>
      <c r="T14" s="89" t="s">
        <v>473</v>
      </c>
    </row>
    <row r="15" spans="1:20">
      <c r="A15" s="89" t="s">
        <v>475</v>
      </c>
      <c r="B15" s="89" t="s">
        <v>476</v>
      </c>
      <c r="C15" s="2" t="s">
        <v>0</v>
      </c>
      <c r="D15" s="89" t="s">
        <v>472</v>
      </c>
      <c r="E15" s="89" t="s">
        <v>466</v>
      </c>
      <c r="F15" s="2" t="s">
        <v>0</v>
      </c>
      <c r="G15" s="89" t="s">
        <v>467</v>
      </c>
      <c r="H15" s="2" t="s">
        <v>37</v>
      </c>
      <c r="I15" s="2" t="s">
        <v>17</v>
      </c>
      <c r="J15" s="2" t="s">
        <v>17</v>
      </c>
      <c r="K15" s="2" t="s">
        <v>17</v>
      </c>
      <c r="L15" s="2" t="s">
        <v>16</v>
      </c>
      <c r="M15" s="2" t="s">
        <v>22</v>
      </c>
      <c r="N15" s="2" t="s">
        <v>24</v>
      </c>
      <c r="O15" s="2" t="s">
        <v>30</v>
      </c>
      <c r="P15" s="2" t="s">
        <v>43</v>
      </c>
      <c r="Q15" s="3">
        <v>46036</v>
      </c>
      <c r="R15" s="89" t="s">
        <v>477</v>
      </c>
      <c r="S15" s="2" t="s">
        <v>34</v>
      </c>
      <c r="T15" s="89" t="s">
        <v>478</v>
      </c>
    </row>
  </sheetData>
  <dataConsolidate/>
  <dataValidations count="12">
    <dataValidation type="list" allowBlank="1" showInputMessage="1" showErrorMessage="1" errorTitle="Neplatná hodnota" error="Prosím, vyberte hodnotu ze seznamu v číselníku." sqref="C2:C1048576" xr:uid="{CC8DF45D-DCFC-4E01-B87D-AD42D74A9DF2}">
      <formula1>TypAktiva</formula1>
    </dataValidation>
    <dataValidation type="list" allowBlank="1" showInputMessage="1" showErrorMessage="1" errorTitle="Neplatná hodnota" error="Prosím, vyberte hodnotu ze seznamu v číselníku." sqref="D2:D1048576" xr:uid="{10D5BF2F-060B-4456-A3B2-A08336BF27CF}">
      <formula1>Kategorie</formula1>
    </dataValidation>
    <dataValidation type="list" allowBlank="1" showInputMessage="1" showErrorMessage="1" errorTitle="Neplatná hodnota" error="Prosím, vyberte hodnotu ze seznamu v číselníku." sqref="F2:F1048576" xr:uid="{5DDA7C5A-D86A-426C-9117-7D88ED006709}">
      <formula1>Oddělení</formula1>
    </dataValidation>
    <dataValidation type="list" allowBlank="1" showInputMessage="1" showErrorMessage="1" sqref="K18:K1048576 K4:K16" xr:uid="{11D0CB73-BE88-45CF-A376-237F0FB36D5C}">
      <formula1>CIA</formula1>
    </dataValidation>
    <dataValidation type="list" allowBlank="1" showInputMessage="1" showErrorMessage="1" errorTitle="Neplatná hodnota" error="Prosím, vyberte hodnotu ze seznamu v číselníku." sqref="M2:M1048576" xr:uid="{E549B8E5-FDE5-4166-8022-80D64B0B9E9B}">
      <formula1>Síť</formula1>
    </dataValidation>
    <dataValidation type="list" allowBlank="1" showInputMessage="1" showErrorMessage="1" errorTitle="Neplatná hodnota" error="Prosím, vyberte hodnotu ze seznamu v číselníku." sqref="N2:N1048576" xr:uid="{A0CE1868-9146-48FA-9CF3-B203375CE3E4}">
      <formula1>Přístup</formula1>
    </dataValidation>
    <dataValidation type="list" allowBlank="1" showInputMessage="1" showErrorMessage="1" errorTitle="Neplatná hodnota" error="Prosím, vyberte hodnotu ze seznamu v číselníku." sqref="O2:O1048576" xr:uid="{F717EEE1-CACA-437E-90ED-CC2352BC5D19}">
      <formula1>Zálohování</formula1>
    </dataValidation>
    <dataValidation type="list" allowBlank="1" showInputMessage="1" showErrorMessage="1" errorTitle="Neplatná hodnota" error="Prosím, vyberte hodnotu ze seznamu v číselníku." sqref="H2:H1048576" xr:uid="{C6ED9A81-16A4-452F-81D0-F1702464BF6A}">
      <formula1>StavAktiva</formula1>
    </dataValidation>
    <dataValidation type="list" allowBlank="1" showInputMessage="1" showErrorMessage="1" errorTitle="Neplatná hodnota" error="Prosím, vyberte hodnotu ze seznamu v číselníku." sqref="P2:P1048576" xr:uid="{C7637A8C-AC54-45EB-8C5B-9A0E2B5D32D6}">
      <formula1>Aktualizace</formula1>
    </dataValidation>
    <dataValidation type="list" allowBlank="1" showInputMessage="1" showErrorMessage="1" error="Prosím, vyberte hodnotu ze seznamu v číselníku." sqref="K17" xr:uid="{0ABC9CF5-7762-479F-849D-728B0DF97675}">
      <formula1>CIA</formula1>
    </dataValidation>
    <dataValidation type="list" allowBlank="1" showInputMessage="1" showErrorMessage="1" errorTitle="Neplatná hodnota" error="Prosím, vyberte hodnotu ze seznamu v číselníku." sqref="K2:K3 L2:L1048576 I2:J1048576" xr:uid="{ACB39302-9A49-43E8-8C3C-F00DFF25BC81}">
      <formula1>CIA</formula1>
    </dataValidation>
    <dataValidation type="list" allowBlank="1" showInputMessage="1" showErrorMessage="1" sqref="S2:S1048576" xr:uid="{A1C0443D-B3D4-4FDE-8EAA-5DE5BCE9B09F}">
      <formula1>TypPoznámky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B35A-517A-4AA8-A3C6-E2E470625A15}">
  <dimension ref="A1:N301"/>
  <sheetViews>
    <sheetView zoomScaleNormal="100" workbookViewId="0">
      <selection activeCell="C2" sqref="C2"/>
    </sheetView>
  </sheetViews>
  <sheetFormatPr defaultColWidth="18.42578125" defaultRowHeight="15"/>
  <cols>
    <col min="1" max="2" width="16.28515625" style="77" customWidth="1"/>
    <col min="3" max="3" width="18.7109375" style="89" customWidth="1"/>
    <col min="4" max="6" width="18.7109375" style="93" customWidth="1"/>
    <col min="7" max="8" width="16.28515625" style="90" customWidth="1"/>
    <col min="9" max="9" width="16.28515625" customWidth="1"/>
    <col min="10" max="10" width="16.28515625" style="2" customWidth="1"/>
    <col min="11" max="12" width="18.7109375" style="93" customWidth="1"/>
    <col min="13" max="13" width="18.7109375" style="90" customWidth="1"/>
    <col min="14" max="14" width="18.7109375" style="77" customWidth="1"/>
    <col min="15" max="16384" width="18.42578125" style="77"/>
  </cols>
  <sheetData>
    <row r="1" spans="1:14" ht="31.5">
      <c r="A1" s="79" t="s">
        <v>240</v>
      </c>
      <c r="B1" s="78" t="s">
        <v>63</v>
      </c>
      <c r="C1" s="82" t="s">
        <v>239</v>
      </c>
      <c r="D1" s="78" t="s">
        <v>248</v>
      </c>
      <c r="E1" s="78" t="s">
        <v>238</v>
      </c>
      <c r="F1" s="78" t="s">
        <v>237</v>
      </c>
      <c r="G1" s="78" t="s">
        <v>236</v>
      </c>
      <c r="H1" s="79" t="s">
        <v>235</v>
      </c>
      <c r="I1" s="82" t="s">
        <v>234</v>
      </c>
      <c r="J1" s="82" t="s">
        <v>233</v>
      </c>
      <c r="K1" s="78" t="s">
        <v>232</v>
      </c>
      <c r="L1" s="79" t="s">
        <v>231</v>
      </c>
      <c r="M1" s="78" t="s">
        <v>230</v>
      </c>
      <c r="N1" s="78" t="s">
        <v>249</v>
      </c>
    </row>
    <row r="2" spans="1:14">
      <c r="A2" s="77" t="s">
        <v>362</v>
      </c>
      <c r="B2" s="77" t="s">
        <v>346</v>
      </c>
      <c r="C2" s="89" t="str">
        <f>IFERROR(VLOOKUP(B2, 'Asset Register'!A:B, 2, FALSE), "")</f>
        <v>Telemetrické jednotky typu A</v>
      </c>
      <c r="D2" s="93" t="s">
        <v>350</v>
      </c>
      <c r="E2" s="93" t="s">
        <v>347</v>
      </c>
      <c r="F2" s="93" t="s">
        <v>348</v>
      </c>
      <c r="G2" s="90" t="s">
        <v>243</v>
      </c>
      <c r="H2" s="91" t="s">
        <v>16</v>
      </c>
      <c r="I2" s="92" t="str">
        <f>IF(OR(G2="", H2=""), "",
 INDEX(_RiskMatrix!$B$2:$D$4,
  MATCH(G2, _RiskMatrix!$A$2:$A$4, 0),
  MATCH(H2, _RiskMatrix!$B$1:$D$1, 0)
 ))</f>
        <v>Vysoká</v>
      </c>
      <c r="J2" s="92" t="str">
        <f>IF(I2="", "", I2)</f>
        <v>Vysoká</v>
      </c>
      <c r="K2" s="93" t="s">
        <v>349</v>
      </c>
      <c r="L2" s="93" t="s">
        <v>460</v>
      </c>
      <c r="M2" s="90" t="s">
        <v>245</v>
      </c>
      <c r="N2" s="88">
        <v>46034</v>
      </c>
    </row>
    <row r="3" spans="1:14">
      <c r="A3" s="77" t="s">
        <v>363</v>
      </c>
      <c r="B3" s="77" t="s">
        <v>346</v>
      </c>
      <c r="C3" s="89" t="str">
        <f>IFERROR(VLOOKUP(B3, 'Asset Register'!A:B, 2, FALSE), "")</f>
        <v>Telemetrické jednotky typu A</v>
      </c>
      <c r="D3" s="93" t="s">
        <v>350</v>
      </c>
      <c r="E3" s="93" t="s">
        <v>351</v>
      </c>
      <c r="F3" s="93" t="s">
        <v>352</v>
      </c>
      <c r="G3" s="90" t="s">
        <v>16</v>
      </c>
      <c r="H3" s="90" t="s">
        <v>15</v>
      </c>
      <c r="I3" s="92" t="str">
        <f>IF(OR(G3="", H3=""), "",
 INDEX(_RiskMatrix!$B$2:$D$4,
  MATCH(G3, _RiskMatrix!$A$2:$A$4, 0),
  MATCH(H3, _RiskMatrix!$B$1:$D$1, 0)
 ))</f>
        <v>Nízká</v>
      </c>
      <c r="J3" s="92" t="str">
        <f t="shared" ref="J3:J66" si="0">IF(I3="", "", I3)</f>
        <v>Nízká</v>
      </c>
      <c r="K3" s="93" t="s">
        <v>353</v>
      </c>
      <c r="L3" s="93" t="s">
        <v>354</v>
      </c>
      <c r="M3" s="90" t="s">
        <v>242</v>
      </c>
      <c r="N3" s="88">
        <v>46034</v>
      </c>
    </row>
    <row r="4" spans="1:14">
      <c r="A4" s="77" t="s">
        <v>364</v>
      </c>
      <c r="B4" s="77" t="s">
        <v>346</v>
      </c>
      <c r="C4" s="89" t="str">
        <f>IFERROR(VLOOKUP(B4, 'Asset Register'!A:B, 2, FALSE), "")</f>
        <v>Telemetrické jednotky typu A</v>
      </c>
      <c r="D4" s="93" t="s">
        <v>350</v>
      </c>
      <c r="E4" s="93" t="s">
        <v>355</v>
      </c>
      <c r="F4" s="93" t="s">
        <v>356</v>
      </c>
      <c r="G4" s="90" t="s">
        <v>16</v>
      </c>
      <c r="H4" s="90" t="s">
        <v>16</v>
      </c>
      <c r="I4" s="92" t="str">
        <f>IF(OR(G4="", H4=""), "",
 INDEX(_RiskMatrix!$B$2:$D$4,
  MATCH(G4, _RiskMatrix!$A$2:$A$4, 0),
  MATCH(H4, _RiskMatrix!$B$1:$D$1, 0)
 ))</f>
        <v>Střední</v>
      </c>
      <c r="J4" s="92" t="str">
        <f t="shared" si="0"/>
        <v>Střední</v>
      </c>
      <c r="K4" s="93" t="s">
        <v>357</v>
      </c>
      <c r="L4" s="93" t="s">
        <v>358</v>
      </c>
      <c r="M4" s="90" t="s">
        <v>244</v>
      </c>
      <c r="N4" s="88">
        <v>46034</v>
      </c>
    </row>
    <row r="5" spans="1:14">
      <c r="A5" t="s">
        <v>365</v>
      </c>
      <c r="B5" s="77" t="s">
        <v>369</v>
      </c>
      <c r="C5" s="89" t="str">
        <f>IFERROR(VLOOKUP(B5, 'Asset Register'!A:B, 2, FALSE), "")</f>
        <v>Firmware LOKO01 pro telemetrické jednotky typu A</v>
      </c>
      <c r="D5" s="93" t="s">
        <v>350</v>
      </c>
      <c r="E5" s="93" t="s">
        <v>366</v>
      </c>
      <c r="F5" s="93" t="s">
        <v>367</v>
      </c>
      <c r="G5" s="90" t="s">
        <v>243</v>
      </c>
      <c r="H5" s="90" t="s">
        <v>16</v>
      </c>
      <c r="I5" s="92" t="str">
        <f>IF(OR(G5="", H5=""), "",
 INDEX(_RiskMatrix!$B$2:$D$4,
  MATCH(G5, _RiskMatrix!$A$2:$A$4, 0),
  MATCH(H5, _RiskMatrix!$B$1:$D$1, 0)
 ))</f>
        <v>Vysoká</v>
      </c>
      <c r="J5" s="92" t="str">
        <f t="shared" si="0"/>
        <v>Vysoká</v>
      </c>
      <c r="K5" s="89" t="s">
        <v>368</v>
      </c>
      <c r="L5" s="93" t="s">
        <v>389</v>
      </c>
      <c r="M5" s="90" t="s">
        <v>244</v>
      </c>
      <c r="N5" s="88">
        <v>46034</v>
      </c>
    </row>
    <row r="6" spans="1:14">
      <c r="A6" t="s">
        <v>378</v>
      </c>
      <c r="B6" s="77" t="s">
        <v>372</v>
      </c>
      <c r="C6" s="89" t="str">
        <f>IFERROR(VLOOKUP(B6, 'Asset Register'!A:B, 2, FALSE), "")</f>
        <v>SIM karta pro konektivitu pro telemetrické jednotky typu A</v>
      </c>
      <c r="D6" s="93" t="s">
        <v>350</v>
      </c>
      <c r="E6" s="89" t="s">
        <v>379</v>
      </c>
      <c r="F6" s="93" t="s">
        <v>380</v>
      </c>
      <c r="G6" s="90" t="s">
        <v>16</v>
      </c>
      <c r="H6" s="90" t="s">
        <v>15</v>
      </c>
      <c r="I6" s="92" t="str">
        <f>IF(OR(G6="", H6=""), "",
 INDEX(_RiskMatrix!$B$2:$D$4,
  MATCH(G6, _RiskMatrix!$A$2:$A$4, 0),
  MATCH(H6, _RiskMatrix!$B$1:$D$1, 0)
 ))</f>
        <v>Nízká</v>
      </c>
      <c r="J6" s="92" t="str">
        <f t="shared" si="0"/>
        <v>Nízká</v>
      </c>
      <c r="K6" s="93" t="s">
        <v>384</v>
      </c>
      <c r="L6" s="93" t="s">
        <v>385</v>
      </c>
      <c r="M6" s="90" t="s">
        <v>242</v>
      </c>
      <c r="N6" s="88">
        <v>46034</v>
      </c>
    </row>
    <row r="7" spans="1:14">
      <c r="A7" t="s">
        <v>381</v>
      </c>
      <c r="B7" s="77" t="s">
        <v>374</v>
      </c>
      <c r="C7" s="89" t="str">
        <f>IFERROR(VLOOKUP(B7, 'Asset Register'!A:B, 2, FALSE), "")</f>
        <v>HTTPS pro konektivitu pro telemetrické jednotky typu A</v>
      </c>
      <c r="D7" s="93" t="s">
        <v>350</v>
      </c>
      <c r="E7" s="93" t="s">
        <v>382</v>
      </c>
      <c r="F7" s="93" t="s">
        <v>383</v>
      </c>
      <c r="G7" s="90" t="s">
        <v>16</v>
      </c>
      <c r="H7" s="90" t="s">
        <v>15</v>
      </c>
      <c r="I7" s="92" t="str">
        <f>IF(OR(G7="", H7=""), "",
 INDEX(_RiskMatrix!$B$2:$D$4,
  MATCH(G7, _RiskMatrix!$A$2:$A$4, 0),
  MATCH(H7, _RiskMatrix!$B$1:$D$1, 0)
 ))</f>
        <v>Nízká</v>
      </c>
      <c r="J7" s="92" t="str">
        <f t="shared" si="0"/>
        <v>Nízká</v>
      </c>
      <c r="K7" s="93" t="s">
        <v>386</v>
      </c>
      <c r="L7" s="93" t="s">
        <v>387</v>
      </c>
      <c r="M7" s="90" t="s">
        <v>241</v>
      </c>
      <c r="N7" s="88">
        <v>46034</v>
      </c>
    </row>
    <row r="8" spans="1:14">
      <c r="A8" s="77" t="s">
        <v>396</v>
      </c>
      <c r="B8" s="77" t="s">
        <v>388</v>
      </c>
      <c r="C8" s="89" t="str">
        <f>IFERROR(VLOOKUP(B8, 'Asset Register'!A:B, 2, FALSE), "")</f>
        <v>Data z telemetrických jednotek typu A</v>
      </c>
      <c r="D8" s="93" t="s">
        <v>350</v>
      </c>
      <c r="E8" s="93" t="s">
        <v>397</v>
      </c>
      <c r="F8" s="93" t="s">
        <v>398</v>
      </c>
      <c r="G8" s="90" t="s">
        <v>243</v>
      </c>
      <c r="H8" s="90" t="s">
        <v>16</v>
      </c>
      <c r="I8" s="92" t="str">
        <f>IF(OR(G8="", H8=""), "",
 INDEX(_RiskMatrix!$B$2:$D$4,
  MATCH(G8, _RiskMatrix!$A$2:$A$4, 0),
  MATCH(H8, _RiskMatrix!$B$1:$D$1, 0)
 ))</f>
        <v>Vysoká</v>
      </c>
      <c r="J8" s="92" t="str">
        <f t="shared" si="0"/>
        <v>Vysoká</v>
      </c>
      <c r="K8" s="93" t="s">
        <v>400</v>
      </c>
      <c r="L8" s="93" t="s">
        <v>399</v>
      </c>
      <c r="M8" s="90" t="s">
        <v>244</v>
      </c>
      <c r="N8" s="88">
        <v>46035</v>
      </c>
    </row>
    <row r="9" spans="1:14">
      <c r="A9" t="s">
        <v>402</v>
      </c>
      <c r="B9" s="77" t="s">
        <v>401</v>
      </c>
      <c r="C9" s="89" t="str">
        <f>IFERROR(VLOOKUP(B9, 'Asset Register'!A:B, 2, FALSE), "")</f>
        <v>Telemetry Data API (FLT)</v>
      </c>
      <c r="D9" s="93" t="s">
        <v>350</v>
      </c>
      <c r="E9" s="93" t="s">
        <v>404</v>
      </c>
      <c r="F9" s="93" t="s">
        <v>405</v>
      </c>
      <c r="G9" s="90" t="s">
        <v>243</v>
      </c>
      <c r="H9" s="90" t="s">
        <v>16</v>
      </c>
      <c r="I9" s="92" t="str">
        <f>IF(OR(G9="", H9=""), "",
 INDEX(_RiskMatrix!$B$2:$D$4,
  MATCH(G9, _RiskMatrix!$A$2:$A$4, 0),
  MATCH(H9, _RiskMatrix!$B$1:$D$1, 0)
 ))</f>
        <v>Vysoká</v>
      </c>
      <c r="J9" s="92" t="str">
        <f t="shared" si="0"/>
        <v>Vysoká</v>
      </c>
      <c r="K9" s="93" t="s">
        <v>409</v>
      </c>
      <c r="L9" s="93" t="s">
        <v>461</v>
      </c>
      <c r="M9" s="90" t="s">
        <v>245</v>
      </c>
      <c r="N9" s="88">
        <v>46035</v>
      </c>
    </row>
    <row r="10" spans="1:14">
      <c r="A10" t="s">
        <v>403</v>
      </c>
      <c r="B10" s="77" t="s">
        <v>401</v>
      </c>
      <c r="C10" s="89" t="str">
        <f>IFERROR(VLOOKUP(B10, 'Asset Register'!A:B, 2, FALSE), "")</f>
        <v>Telemetry Data API (FLT)</v>
      </c>
      <c r="D10" s="93" t="s">
        <v>350</v>
      </c>
      <c r="E10" s="89" t="s">
        <v>406</v>
      </c>
      <c r="F10" s="93" t="s">
        <v>407</v>
      </c>
      <c r="G10" s="90" t="s">
        <v>243</v>
      </c>
      <c r="H10" s="90" t="s">
        <v>16</v>
      </c>
      <c r="I10" s="92" t="str">
        <f>IF(OR(G10="", H10=""), "",
 INDEX(_RiskMatrix!$B$2:$D$4,
  MATCH(G10, _RiskMatrix!$A$2:$A$4, 0),
  MATCH(H10, _RiskMatrix!$B$1:$D$1, 0)
 ))</f>
        <v>Vysoká</v>
      </c>
      <c r="J10" s="92" t="str">
        <f t="shared" si="0"/>
        <v>Vysoká</v>
      </c>
      <c r="K10" s="93" t="s">
        <v>410</v>
      </c>
      <c r="L10" s="93" t="s">
        <v>411</v>
      </c>
      <c r="M10" s="90" t="s">
        <v>244</v>
      </c>
      <c r="N10" s="88">
        <v>46035</v>
      </c>
    </row>
    <row r="11" spans="1:14">
      <c r="A11" t="s">
        <v>419</v>
      </c>
      <c r="B11" s="77" t="s">
        <v>412</v>
      </c>
      <c r="C11" s="89" t="str">
        <f>IFERROR(VLOOKUP(B11, 'Asset Register'!A:B, 2, FALSE), "")</f>
        <v>Backend infrastruktura</v>
      </c>
      <c r="D11" s="93" t="s">
        <v>350</v>
      </c>
      <c r="E11" s="93" t="s">
        <v>421</v>
      </c>
      <c r="F11" s="93" t="s">
        <v>420</v>
      </c>
      <c r="G11" s="90" t="s">
        <v>243</v>
      </c>
      <c r="H11" s="90" t="s">
        <v>15</v>
      </c>
      <c r="I11" s="92" t="str">
        <f>IF(OR(G11="", H11=""), "",
 INDEX(_RiskMatrix!$B$2:$D$4,
  MATCH(G11, _RiskMatrix!$A$2:$A$4, 0),
  MATCH(H11, _RiskMatrix!$B$1:$D$1, 0)
 ))</f>
        <v>Střední</v>
      </c>
      <c r="J11" s="92" t="str">
        <f t="shared" si="0"/>
        <v>Střední</v>
      </c>
      <c r="K11" s="93" t="s">
        <v>432</v>
      </c>
      <c r="L11" s="93" t="s">
        <v>431</v>
      </c>
      <c r="M11" s="90" t="s">
        <v>242</v>
      </c>
      <c r="N11" s="88">
        <v>46035</v>
      </c>
    </row>
    <row r="12" spans="1:14">
      <c r="A12" t="s">
        <v>425</v>
      </c>
      <c r="B12" s="77" t="s">
        <v>414</v>
      </c>
      <c r="C12" s="89" t="str">
        <f>IFERROR(VLOOKUP(B12, 'Asset Register'!A:B, 2, FALSE), "")</f>
        <v xml:space="preserve">Záložní backend infrastruktura </v>
      </c>
      <c r="D12" s="93" t="s">
        <v>350</v>
      </c>
      <c r="E12" s="89" t="s">
        <v>426</v>
      </c>
      <c r="F12" s="93" t="s">
        <v>433</v>
      </c>
      <c r="G12" s="90" t="s">
        <v>243</v>
      </c>
      <c r="H12" s="90" t="s">
        <v>15</v>
      </c>
      <c r="I12" s="92" t="str">
        <f>IF(OR(G12="", H12=""), "",
 INDEX(_RiskMatrix!$B$2:$D$4,
  MATCH(G12, _RiskMatrix!$A$2:$A$4, 0),
  MATCH(H12, _RiskMatrix!$B$1:$D$1, 0)
 ))</f>
        <v>Střední</v>
      </c>
      <c r="J12" s="92" t="str">
        <f t="shared" si="0"/>
        <v>Střední</v>
      </c>
      <c r="K12" s="93" t="s">
        <v>434</v>
      </c>
      <c r="L12" s="93" t="s">
        <v>427</v>
      </c>
      <c r="M12" s="90" t="s">
        <v>245</v>
      </c>
      <c r="N12" s="88">
        <v>46035</v>
      </c>
    </row>
    <row r="13" spans="1:14">
      <c r="A13" s="77" t="s">
        <v>428</v>
      </c>
      <c r="B13" s="77" t="s">
        <v>417</v>
      </c>
      <c r="C13" s="89" t="str">
        <f>IFERROR(VLOOKUP(B13, 'Asset Register'!A:B, 2, FALSE), "")</f>
        <v>Správcovský přístup k backend inrastruktuře</v>
      </c>
      <c r="D13" s="93" t="s">
        <v>350</v>
      </c>
      <c r="E13" s="93" t="s">
        <v>430</v>
      </c>
      <c r="F13" s="93" t="s">
        <v>435</v>
      </c>
      <c r="G13" s="90" t="s">
        <v>243</v>
      </c>
      <c r="H13" s="90" t="s">
        <v>16</v>
      </c>
      <c r="I13" s="92" t="str">
        <f>IF(OR(G13="", H13=""), "",
 INDEX(_RiskMatrix!$B$2:$D$4,
  MATCH(G13, _RiskMatrix!$A$2:$A$4, 0),
  MATCH(H13, _RiskMatrix!$B$1:$D$1, 0)
 ))</f>
        <v>Vysoká</v>
      </c>
      <c r="J13" s="92" t="str">
        <f t="shared" si="0"/>
        <v>Vysoká</v>
      </c>
      <c r="K13" s="93" t="s">
        <v>436</v>
      </c>
      <c r="L13" s="93" t="s">
        <v>429</v>
      </c>
      <c r="M13" s="90" t="s">
        <v>244</v>
      </c>
      <c r="N13" s="88">
        <v>46035</v>
      </c>
    </row>
    <row r="14" spans="1:14">
      <c r="A14" s="77" t="s">
        <v>444</v>
      </c>
      <c r="B14" s="77" t="s">
        <v>438</v>
      </c>
      <c r="C14" s="89" t="str">
        <f>IFERROR(VLOOKUP(B14, 'Asset Register'!A:B, 2, FALSE), "")</f>
        <v>Fleet Monitoring Web App</v>
      </c>
      <c r="D14" s="93" t="s">
        <v>350</v>
      </c>
      <c r="E14" s="93" t="s">
        <v>447</v>
      </c>
      <c r="F14" s="89" t="s">
        <v>448</v>
      </c>
      <c r="G14" s="90" t="s">
        <v>243</v>
      </c>
      <c r="H14" s="90" t="s">
        <v>15</v>
      </c>
      <c r="I14" s="92" t="str">
        <f>IF(OR(G14="", H14=""), "",
 INDEX(_RiskMatrix!$B$2:$D$4,
  MATCH(G14, _RiskMatrix!$A$2:$A$4, 0),
  MATCH(H14, _RiskMatrix!$B$1:$D$1, 0)
 ))</f>
        <v>Střední</v>
      </c>
      <c r="J14" s="92" t="str">
        <f t="shared" si="0"/>
        <v>Střední</v>
      </c>
      <c r="K14" s="93" t="s">
        <v>456</v>
      </c>
      <c r="L14" s="93" t="s">
        <v>462</v>
      </c>
      <c r="M14" s="90" t="s">
        <v>245</v>
      </c>
      <c r="N14" s="88">
        <v>46036</v>
      </c>
    </row>
    <row r="15" spans="1:14">
      <c r="A15" t="s">
        <v>445</v>
      </c>
      <c r="B15" s="77" t="s">
        <v>441</v>
      </c>
      <c r="C15" s="89" t="str">
        <f>IFERROR(VLOOKUP(B15, 'Asset Register'!A:B, 2, FALSE), "")</f>
        <v>Uživatelské účty a profily</v>
      </c>
      <c r="D15" s="93" t="s">
        <v>350</v>
      </c>
      <c r="E15" s="93" t="s">
        <v>451</v>
      </c>
      <c r="F15" s="93" t="s">
        <v>452</v>
      </c>
      <c r="G15" s="90" t="s">
        <v>243</v>
      </c>
      <c r="H15" s="90" t="s">
        <v>17</v>
      </c>
      <c r="I15" s="92" t="str">
        <f>IF(OR(G15="", H15=""), "",
 INDEX(_RiskMatrix!$B$2:$D$4,
  MATCH(G15, _RiskMatrix!$A$2:$A$4, 0),
  MATCH(H15, _RiskMatrix!$B$1:$D$1, 0)
 ))</f>
        <v>Vysoká</v>
      </c>
      <c r="J15" s="92" t="str">
        <f t="shared" si="0"/>
        <v>Vysoká</v>
      </c>
      <c r="K15" s="93" t="s">
        <v>453</v>
      </c>
      <c r="L15" s="89" t="s">
        <v>454</v>
      </c>
      <c r="M15" s="90" t="s">
        <v>245</v>
      </c>
      <c r="N15" s="88">
        <v>46036</v>
      </c>
    </row>
    <row r="16" spans="1:14">
      <c r="A16" t="s">
        <v>446</v>
      </c>
      <c r="B16" s="77" t="s">
        <v>441</v>
      </c>
      <c r="C16" s="89" t="str">
        <f>IFERROR(VLOOKUP(B16, 'Asset Register'!A:B, 2, FALSE), "")</f>
        <v>Uživatelské účty a profily</v>
      </c>
      <c r="D16" s="93" t="s">
        <v>350</v>
      </c>
      <c r="E16" s="89" t="s">
        <v>449</v>
      </c>
      <c r="F16" s="93" t="s">
        <v>450</v>
      </c>
      <c r="G16" s="90" t="s">
        <v>243</v>
      </c>
      <c r="H16" s="90" t="s">
        <v>16</v>
      </c>
      <c r="I16" s="92" t="str">
        <f>IF(OR(G16="", H16=""), "",
 INDEX(_RiskMatrix!$B$2:$D$4,
  MATCH(G16, _RiskMatrix!$A$2:$A$4, 0),
  MATCH(H16, _RiskMatrix!$B$1:$D$1, 0)
 ))</f>
        <v>Vysoká</v>
      </c>
      <c r="J16" s="92" t="str">
        <f t="shared" si="0"/>
        <v>Vysoká</v>
      </c>
      <c r="K16" s="89" t="s">
        <v>455</v>
      </c>
      <c r="L16" s="93" t="s">
        <v>457</v>
      </c>
      <c r="M16" s="90" t="s">
        <v>244</v>
      </c>
      <c r="N16" s="88">
        <v>46036</v>
      </c>
    </row>
    <row r="17" spans="1:14">
      <c r="A17" s="77" t="s">
        <v>480</v>
      </c>
      <c r="B17" s="77" t="s">
        <v>463</v>
      </c>
      <c r="C17" s="89" t="str">
        <f>IFERROR(VLOOKUP(B17, 'Asset Register'!A:B, 2, FALSE), "")</f>
        <v>Bezpečnostní politika</v>
      </c>
      <c r="D17" s="93" t="s">
        <v>350</v>
      </c>
      <c r="E17" s="93" t="s">
        <v>483</v>
      </c>
      <c r="F17" s="93" t="s">
        <v>486</v>
      </c>
      <c r="G17" s="90" t="s">
        <v>243</v>
      </c>
      <c r="H17" s="90" t="s">
        <v>17</v>
      </c>
      <c r="I17" s="92" t="str">
        <f>IF(OR(G17="", H17=""), "",
 INDEX(_RiskMatrix!$B$2:$D$4,
  MATCH(G17, _RiskMatrix!$A$2:$A$4, 0),
  MATCH(H17, _RiskMatrix!$B$1:$D$1, 0)
 ))</f>
        <v>Vysoká</v>
      </c>
      <c r="J17" s="92" t="str">
        <f t="shared" si="0"/>
        <v>Vysoká</v>
      </c>
      <c r="K17" s="93" t="s">
        <v>489</v>
      </c>
      <c r="L17" s="93" t="s">
        <v>490</v>
      </c>
      <c r="M17" s="90" t="s">
        <v>244</v>
      </c>
      <c r="N17" s="88">
        <v>46036</v>
      </c>
    </row>
    <row r="18" spans="1:14">
      <c r="A18" s="77" t="s">
        <v>481</v>
      </c>
      <c r="B18" s="77" t="s">
        <v>470</v>
      </c>
      <c r="C18" s="89" t="str">
        <f>IFERROR(VLOOKUP(B18, 'Asset Register'!A:B, 2, FALSE), "")</f>
        <v>Incident Response Process</v>
      </c>
      <c r="D18" s="93" t="s">
        <v>350</v>
      </c>
      <c r="E18" s="93" t="s">
        <v>484</v>
      </c>
      <c r="F18" s="93" t="s">
        <v>487</v>
      </c>
      <c r="G18" s="90" t="s">
        <v>243</v>
      </c>
      <c r="H18" s="90" t="s">
        <v>17</v>
      </c>
      <c r="I18" s="92" t="str">
        <f>IF(OR(G18="", H18=""), "",
 INDEX(_RiskMatrix!$B$2:$D$4,
  MATCH(G18, _RiskMatrix!$A$2:$A$4, 0),
  MATCH(H18, _RiskMatrix!$B$1:$D$1, 0)
 ))</f>
        <v>Vysoká</v>
      </c>
      <c r="J18" s="92" t="str">
        <f t="shared" si="0"/>
        <v>Vysoká</v>
      </c>
      <c r="K18" s="93" t="s">
        <v>493</v>
      </c>
      <c r="L18" s="93" t="s">
        <v>494</v>
      </c>
      <c r="M18" s="90" t="s">
        <v>244</v>
      </c>
      <c r="N18" s="88">
        <v>46036</v>
      </c>
    </row>
    <row r="19" spans="1:14">
      <c r="A19" s="77" t="s">
        <v>482</v>
      </c>
      <c r="B19" s="77" t="s">
        <v>475</v>
      </c>
      <c r="C19" s="89" t="str">
        <f>IFERROR(VLOOKUP(B19, 'Asset Register'!A:B, 2, FALSE), "")</f>
        <v>Vulnerability Management Process</v>
      </c>
      <c r="D19" s="93" t="s">
        <v>350</v>
      </c>
      <c r="E19" s="93" t="s">
        <v>485</v>
      </c>
      <c r="F19" s="93" t="s">
        <v>488</v>
      </c>
      <c r="G19" s="90" t="s">
        <v>243</v>
      </c>
      <c r="H19" s="90" t="s">
        <v>17</v>
      </c>
      <c r="I19" s="92" t="str">
        <f>IF(OR(G19="", H19=""), "",
 INDEX(_RiskMatrix!$B$2:$D$4,
  MATCH(G19, _RiskMatrix!$A$2:$A$4, 0),
  MATCH(H19, _RiskMatrix!$B$1:$D$1, 0)
 ))</f>
        <v>Vysoká</v>
      </c>
      <c r="J19" s="92" t="str">
        <f t="shared" si="0"/>
        <v>Vysoká</v>
      </c>
      <c r="K19" t="s">
        <v>491</v>
      </c>
      <c r="L19" s="93" t="s">
        <v>492</v>
      </c>
      <c r="M19" s="90" t="s">
        <v>244</v>
      </c>
      <c r="N19" s="88">
        <v>46036</v>
      </c>
    </row>
    <row r="20" spans="1:14">
      <c r="A20" t="s">
        <v>495</v>
      </c>
      <c r="B20" s="77" t="s">
        <v>470</v>
      </c>
      <c r="C20" s="89" t="str">
        <f>IFERROR(VLOOKUP(B20, 'Asset Register'!A:B, 2, FALSE), "")</f>
        <v>Incident Response Process</v>
      </c>
      <c r="D20" s="93" t="s">
        <v>350</v>
      </c>
      <c r="E20" t="s">
        <v>496</v>
      </c>
      <c r="F20" s="93" t="s">
        <v>497</v>
      </c>
      <c r="G20" s="90" t="s">
        <v>243</v>
      </c>
      <c r="H20" s="90" t="s">
        <v>17</v>
      </c>
      <c r="I20" s="92" t="str">
        <f>IF(OR(G20="", H20=""), "",
 INDEX(_RiskMatrix!$B$2:$D$4,
  MATCH(G20, _RiskMatrix!$A$2:$A$4, 0),
  MATCH(H20, _RiskMatrix!$B$1:$D$1, 0)
 ))</f>
        <v>Vysoká</v>
      </c>
      <c r="J20" s="92" t="str">
        <f t="shared" si="0"/>
        <v>Vysoká</v>
      </c>
      <c r="K20" s="93" t="s">
        <v>498</v>
      </c>
      <c r="L20" s="93" t="s">
        <v>499</v>
      </c>
      <c r="M20" s="90" t="s">
        <v>244</v>
      </c>
      <c r="N20" s="88">
        <v>46036</v>
      </c>
    </row>
    <row r="21" spans="1:14">
      <c r="C21" s="89" t="str">
        <f>IFERROR(VLOOKUP(B21, 'Asset Register'!A:B, 2, FALSE), "")</f>
        <v/>
      </c>
      <c r="I21" s="92" t="str">
        <f>IF(OR(G21="", H21=""), "",
 INDEX(_RiskMatrix!$B$2:$D$4,
  MATCH(G21, _RiskMatrix!$A$2:$A$4, 0),
  MATCH(H21, _RiskMatrix!$B$1:$D$1, 0)
 ))</f>
        <v/>
      </c>
      <c r="J21" s="92" t="str">
        <f t="shared" si="0"/>
        <v/>
      </c>
    </row>
    <row r="22" spans="1:14">
      <c r="C22" s="89" t="str">
        <f>IFERROR(VLOOKUP(B22, 'Asset Register'!A:B, 2, FALSE), "")</f>
        <v/>
      </c>
      <c r="I22" s="92" t="str">
        <f>IF(OR(G22="", H22=""), "",
 INDEX(_RiskMatrix!$B$2:$D$4,
  MATCH(G22, _RiskMatrix!$A$2:$A$4, 0),
  MATCH(H22, _RiskMatrix!$B$1:$D$1, 0)
 ))</f>
        <v/>
      </c>
      <c r="J22" s="92" t="str">
        <f t="shared" si="0"/>
        <v/>
      </c>
    </row>
    <row r="23" spans="1:14">
      <c r="C23" s="89" t="str">
        <f>IFERROR(VLOOKUP(B23, 'Asset Register'!A:B, 2, FALSE), "")</f>
        <v/>
      </c>
      <c r="I23" s="92" t="str">
        <f>IF(OR(G23="", H23=""), "",
 INDEX(_RiskMatrix!$B$2:$D$4,
  MATCH(G23, _RiskMatrix!$A$2:$A$4, 0),
  MATCH(H23, _RiskMatrix!$B$1:$D$1, 0)
 ))</f>
        <v/>
      </c>
      <c r="J23" s="92" t="str">
        <f t="shared" si="0"/>
        <v/>
      </c>
    </row>
    <row r="24" spans="1:14">
      <c r="C24" s="89" t="str">
        <f>IFERROR(VLOOKUP(B24, 'Asset Register'!A:B, 2, FALSE), "")</f>
        <v/>
      </c>
      <c r="I24" s="92" t="str">
        <f>IF(OR(G24="", H24=""), "",
 INDEX(_RiskMatrix!$B$2:$D$4,
  MATCH(G24, _RiskMatrix!$A$2:$A$4, 0),
  MATCH(H24, _RiskMatrix!$B$1:$D$1, 0)
 ))</f>
        <v/>
      </c>
      <c r="J24" s="92" t="str">
        <f t="shared" si="0"/>
        <v/>
      </c>
    </row>
    <row r="25" spans="1:14">
      <c r="C25" s="89" t="str">
        <f>IFERROR(VLOOKUP(B25, 'Asset Register'!A:B, 2, FALSE), "")</f>
        <v/>
      </c>
      <c r="I25" s="92" t="str">
        <f>IF(OR(G25="", H25=""), "",
 INDEX(_RiskMatrix!$B$2:$D$4,
  MATCH(G25, _RiskMatrix!$A$2:$A$4, 0),
  MATCH(H25, _RiskMatrix!$B$1:$D$1, 0)
 ))</f>
        <v/>
      </c>
      <c r="J25" s="92" t="str">
        <f t="shared" si="0"/>
        <v/>
      </c>
    </row>
    <row r="26" spans="1:14">
      <c r="C26" s="89" t="str">
        <f>IFERROR(VLOOKUP(B26, 'Asset Register'!A:B, 2, FALSE), "")</f>
        <v/>
      </c>
      <c r="I26" s="92" t="str">
        <f>IF(OR(G26="", H26=""), "",
 INDEX(_RiskMatrix!$B$2:$D$4,
  MATCH(G26, _RiskMatrix!$A$2:$A$4, 0),
  MATCH(H26, _RiskMatrix!$B$1:$D$1, 0)
 ))</f>
        <v/>
      </c>
      <c r="J26" s="92" t="str">
        <f t="shared" si="0"/>
        <v/>
      </c>
    </row>
    <row r="27" spans="1:14">
      <c r="C27" s="89" t="str">
        <f>IFERROR(VLOOKUP(B27, 'Asset Register'!A:B, 2, FALSE), "")</f>
        <v/>
      </c>
      <c r="I27" s="92"/>
      <c r="J27" s="92" t="str">
        <f t="shared" si="0"/>
        <v/>
      </c>
    </row>
    <row r="28" spans="1:14">
      <c r="C28" s="89" t="str">
        <f>IFERROR(VLOOKUP(B28, 'Asset Register'!A:B, 2, FALSE), "")</f>
        <v/>
      </c>
      <c r="I28" s="92" t="str">
        <f>IF(OR(G28="", H28=""), "",
 INDEX(_RiskMatrix!$B$2:$D$4,
  MATCH(G28, _RiskMatrix!$A$2:$A$4, 0),
  MATCH(H28, _RiskMatrix!$B$1:$D$1, 0)
 ))</f>
        <v/>
      </c>
      <c r="J28" s="92" t="str">
        <f t="shared" si="0"/>
        <v/>
      </c>
    </row>
    <row r="29" spans="1:14">
      <c r="C29" s="89" t="str">
        <f>IFERROR(VLOOKUP(B29, 'Asset Register'!A:B, 2, FALSE), "")</f>
        <v/>
      </c>
      <c r="I29" s="83" t="str">
        <f>IF(OR(G29="", H29=""), "",
 INDEX(_RiskMatrix!$B$2:$D$4,
  MATCH(G29, _RiskMatrix!$A$2:$A$4, 0),
  MATCH(H29, _RiskMatrix!$B$1:$D$1, 0)
 ))</f>
        <v/>
      </c>
      <c r="J29" s="92" t="str">
        <f t="shared" si="0"/>
        <v/>
      </c>
    </row>
    <row r="30" spans="1:14">
      <c r="C30" s="89" t="str">
        <f>IFERROR(VLOOKUP(B30, 'Asset Register'!A:B, 2, FALSE), "")</f>
        <v/>
      </c>
      <c r="I30" s="83" t="str">
        <f>IF(OR(G30="", H30=""), "",
 INDEX(_RiskMatrix!$B$2:$D$4,
  MATCH(G30, _RiskMatrix!$A$2:$A$4, 0),
  MATCH(H30, _RiskMatrix!$B$1:$D$1, 0)
 ))</f>
        <v/>
      </c>
      <c r="J30" s="92" t="str">
        <f t="shared" si="0"/>
        <v/>
      </c>
    </row>
    <row r="31" spans="1:14">
      <c r="C31" s="89" t="str">
        <f>IFERROR(VLOOKUP(B31, 'Asset Register'!A:B, 2, FALSE), "")</f>
        <v/>
      </c>
      <c r="I31" s="83" t="str">
        <f>IF(OR(G31="", H31=""), "",
 INDEX(_RiskMatrix!$B$2:$D$4,
  MATCH(G31, _RiskMatrix!$A$2:$A$4, 0),
  MATCH(H31, _RiskMatrix!$B$1:$D$1, 0)
 ))</f>
        <v/>
      </c>
      <c r="J31" s="92" t="str">
        <f t="shared" si="0"/>
        <v/>
      </c>
    </row>
    <row r="32" spans="1:14">
      <c r="C32" s="89" t="str">
        <f>IFERROR(VLOOKUP(B32, 'Asset Register'!A:B, 2, FALSE), "")</f>
        <v/>
      </c>
      <c r="I32" s="83" t="str">
        <f>IF(OR(G32="", H32=""), "",
 INDEX(_RiskMatrix!$B$2:$D$4,
  MATCH(G32, _RiskMatrix!$A$2:$A$4, 0),
  MATCH(H32, _RiskMatrix!$B$1:$D$1, 0)
 ))</f>
        <v/>
      </c>
      <c r="J32" s="92" t="str">
        <f t="shared" si="0"/>
        <v/>
      </c>
    </row>
    <row r="33" spans="3:10">
      <c r="C33" s="89" t="str">
        <f>IFERROR(VLOOKUP(B33, 'Asset Register'!A:B, 2, FALSE), "")</f>
        <v/>
      </c>
      <c r="I33" s="83" t="str">
        <f>IF(OR(G33="", H33=""), "",
 INDEX(_RiskMatrix!$B$2:$D$4,
  MATCH(G33, _RiskMatrix!$A$2:$A$4, 0),
  MATCH(H33, _RiskMatrix!$B$1:$D$1, 0)
 ))</f>
        <v/>
      </c>
      <c r="J33" s="92" t="str">
        <f t="shared" si="0"/>
        <v/>
      </c>
    </row>
    <row r="34" spans="3:10">
      <c r="C34" s="89" t="str">
        <f>IFERROR(VLOOKUP(B34, 'Asset Register'!A:B, 2, FALSE), "")</f>
        <v/>
      </c>
      <c r="I34" s="83" t="str">
        <f>IF(OR(G34="", H34=""), "",
 INDEX(_RiskMatrix!$B$2:$D$4,
  MATCH(G34, _RiskMatrix!$A$2:$A$4, 0),
  MATCH(H34, _RiskMatrix!$B$1:$D$1, 0)
 ))</f>
        <v/>
      </c>
      <c r="J34" s="92" t="str">
        <f t="shared" si="0"/>
        <v/>
      </c>
    </row>
    <row r="35" spans="3:10">
      <c r="C35" s="89" t="str">
        <f>IFERROR(VLOOKUP(B35, 'Asset Register'!A:B, 2, FALSE), "")</f>
        <v/>
      </c>
      <c r="I35" s="83" t="str">
        <f>IF(OR(G35="", H35=""), "",
 INDEX(_RiskMatrix!$B$2:$D$4,
  MATCH(G35, _RiskMatrix!$A$2:$A$4, 0),
  MATCH(H35, _RiskMatrix!$B$1:$D$1, 0)
 ))</f>
        <v/>
      </c>
      <c r="J35" s="92" t="str">
        <f t="shared" si="0"/>
        <v/>
      </c>
    </row>
    <row r="36" spans="3:10">
      <c r="C36" s="89" t="str">
        <f>IFERROR(VLOOKUP(B36, 'Asset Register'!A:B, 2, FALSE), "")</f>
        <v/>
      </c>
      <c r="I36" s="83" t="str">
        <f>IF(OR(G36="", H36=""), "",
 INDEX(_RiskMatrix!$B$2:$D$4,
  MATCH(G36, _RiskMatrix!$A$2:$A$4, 0),
  MATCH(H36, _RiskMatrix!$B$1:$D$1, 0)
 ))</f>
        <v/>
      </c>
      <c r="J36" s="92" t="str">
        <f t="shared" si="0"/>
        <v/>
      </c>
    </row>
    <row r="37" spans="3:10">
      <c r="C37" s="89" t="str">
        <f>IFERROR(VLOOKUP(B37, 'Asset Register'!A:B, 2, FALSE), "")</f>
        <v/>
      </c>
      <c r="I37" s="83" t="str">
        <f>IF(OR(G37="", H37=""), "",
 INDEX(_RiskMatrix!$B$2:$D$4,
  MATCH(G37, _RiskMatrix!$A$2:$A$4, 0),
  MATCH(H37, _RiskMatrix!$B$1:$D$1, 0)
 ))</f>
        <v/>
      </c>
      <c r="J37" s="92" t="str">
        <f t="shared" si="0"/>
        <v/>
      </c>
    </row>
    <row r="38" spans="3:10">
      <c r="C38" s="89" t="str">
        <f>IFERROR(VLOOKUP(B38, 'Asset Register'!A:B, 2, FALSE), "")</f>
        <v/>
      </c>
      <c r="I38" s="83" t="str">
        <f>IF(OR(G38="", H38=""), "",
 INDEX(_RiskMatrix!$B$2:$D$4,
  MATCH(G38, _RiskMatrix!$A$2:$A$4, 0),
  MATCH(H38, _RiskMatrix!$B$1:$D$1, 0)
 ))</f>
        <v/>
      </c>
      <c r="J38" s="92" t="str">
        <f t="shared" si="0"/>
        <v/>
      </c>
    </row>
    <row r="39" spans="3:10">
      <c r="C39" s="89" t="str">
        <f>IFERROR(VLOOKUP(B39, 'Asset Register'!A:B, 2, FALSE), "")</f>
        <v/>
      </c>
      <c r="I39" s="83" t="str">
        <f>IF(OR(G39="", H39=""), "",
 INDEX(_RiskMatrix!$B$2:$D$4,
  MATCH(G39, _RiskMatrix!$A$2:$A$4, 0),
  MATCH(H39, _RiskMatrix!$B$1:$D$1, 0)
 ))</f>
        <v/>
      </c>
      <c r="J39" s="92" t="str">
        <f t="shared" si="0"/>
        <v/>
      </c>
    </row>
    <row r="40" spans="3:10">
      <c r="C40" s="89" t="str">
        <f>IFERROR(VLOOKUP(B40, 'Asset Register'!A:B, 2, FALSE), "")</f>
        <v/>
      </c>
      <c r="I40" s="83" t="str">
        <f>IF(OR(G40="", H40=""), "",
 INDEX(_RiskMatrix!$B$2:$D$4,
  MATCH(G40, _RiskMatrix!$A$2:$A$4, 0),
  MATCH(H40, _RiskMatrix!$B$1:$D$1, 0)
 ))</f>
        <v/>
      </c>
      <c r="J40" s="92" t="str">
        <f t="shared" si="0"/>
        <v/>
      </c>
    </row>
    <row r="41" spans="3:10">
      <c r="C41" s="89" t="str">
        <f>IFERROR(VLOOKUP(B41, 'Asset Register'!A:B, 2, FALSE), "")</f>
        <v/>
      </c>
      <c r="I41" s="83" t="str">
        <f>IF(OR(G41="", H41=""), "",
 INDEX(_RiskMatrix!$B$2:$D$4,
  MATCH(G41, _RiskMatrix!$A$2:$A$4, 0),
  MATCH(H41, _RiskMatrix!$B$1:$D$1, 0)
 ))</f>
        <v/>
      </c>
      <c r="J41" s="92" t="str">
        <f t="shared" si="0"/>
        <v/>
      </c>
    </row>
    <row r="42" spans="3:10">
      <c r="C42" s="89" t="str">
        <f>IFERROR(VLOOKUP(B42, 'Asset Register'!A:B, 2, FALSE), "")</f>
        <v/>
      </c>
      <c r="I42" s="83" t="str">
        <f>IF(OR(G42="", H42=""), "",
 INDEX(_RiskMatrix!$B$2:$D$4,
  MATCH(G42, _RiskMatrix!$A$2:$A$4, 0),
  MATCH(H42, _RiskMatrix!$B$1:$D$1, 0)
 ))</f>
        <v/>
      </c>
      <c r="J42" s="92" t="str">
        <f t="shared" si="0"/>
        <v/>
      </c>
    </row>
    <row r="43" spans="3:10">
      <c r="C43" s="89" t="str">
        <f>IFERROR(VLOOKUP(B43, 'Asset Register'!A:B, 2, FALSE), "")</f>
        <v/>
      </c>
      <c r="I43" s="83" t="str">
        <f>IF(OR(G43="", H43=""), "",
 INDEX(_RiskMatrix!$B$2:$D$4,
  MATCH(G43, _RiskMatrix!$A$2:$A$4, 0),
  MATCH(H43, _RiskMatrix!$B$1:$D$1, 0)
 ))</f>
        <v/>
      </c>
      <c r="J43" s="92" t="str">
        <f t="shared" si="0"/>
        <v/>
      </c>
    </row>
    <row r="44" spans="3:10">
      <c r="C44" s="89" t="str">
        <f>IFERROR(VLOOKUP(B44, 'Asset Register'!A:B, 2, FALSE), "")</f>
        <v/>
      </c>
      <c r="I44" s="83" t="str">
        <f>IF(OR(G44="", H44=""), "",
 INDEX(_RiskMatrix!$B$2:$D$4,
  MATCH(G44, _RiskMatrix!$A$2:$A$4, 0),
  MATCH(H44, _RiskMatrix!$B$1:$D$1, 0)
 ))</f>
        <v/>
      </c>
      <c r="J44" s="92" t="str">
        <f t="shared" si="0"/>
        <v/>
      </c>
    </row>
    <row r="45" spans="3:10">
      <c r="C45" s="89" t="str">
        <f>IFERROR(VLOOKUP(B45, 'Asset Register'!A:B, 2, FALSE), "")</f>
        <v/>
      </c>
      <c r="I45" s="83" t="str">
        <f>IF(OR(G45="", H45=""), "",
 INDEX(_RiskMatrix!$B$2:$D$4,
  MATCH(G45, _RiskMatrix!$A$2:$A$4, 0),
  MATCH(H45, _RiskMatrix!$B$1:$D$1, 0)
 ))</f>
        <v/>
      </c>
      <c r="J45" s="92" t="str">
        <f t="shared" si="0"/>
        <v/>
      </c>
    </row>
    <row r="46" spans="3:10">
      <c r="C46" s="89" t="str">
        <f>IFERROR(VLOOKUP(B46, 'Asset Register'!A:B, 2, FALSE), "")</f>
        <v/>
      </c>
      <c r="I46" s="83" t="str">
        <f>IF(OR(G46="", H46=""), "",
 INDEX(_RiskMatrix!$B$2:$D$4,
  MATCH(G46, _RiskMatrix!$A$2:$A$4, 0),
  MATCH(H46, _RiskMatrix!$B$1:$D$1, 0)
 ))</f>
        <v/>
      </c>
      <c r="J46" s="92" t="str">
        <f t="shared" si="0"/>
        <v/>
      </c>
    </row>
    <row r="47" spans="3:10">
      <c r="C47" s="89" t="str">
        <f>IFERROR(VLOOKUP(B47, 'Asset Register'!A:B, 2, FALSE), "")</f>
        <v/>
      </c>
      <c r="I47" s="83" t="str">
        <f>IF(OR(G47="", H47=""), "",
 INDEX(_RiskMatrix!$B$2:$D$4,
  MATCH(G47, _RiskMatrix!$A$2:$A$4, 0),
  MATCH(H47, _RiskMatrix!$B$1:$D$1, 0)
 ))</f>
        <v/>
      </c>
      <c r="J47" s="92" t="str">
        <f t="shared" si="0"/>
        <v/>
      </c>
    </row>
    <row r="48" spans="3:10">
      <c r="C48" s="89" t="str">
        <f>IFERROR(VLOOKUP(B48, 'Asset Register'!A:B, 2, FALSE), "")</f>
        <v/>
      </c>
      <c r="I48" s="83" t="str">
        <f>IF(OR(G48="", H48=""), "",
 INDEX(_RiskMatrix!$B$2:$D$4,
  MATCH(G48, _RiskMatrix!$A$2:$A$4, 0),
  MATCH(H48, _RiskMatrix!$B$1:$D$1, 0)
 ))</f>
        <v/>
      </c>
      <c r="J48" s="92" t="str">
        <f t="shared" si="0"/>
        <v/>
      </c>
    </row>
    <row r="49" spans="3:10">
      <c r="C49" s="89" t="str">
        <f>IFERROR(VLOOKUP(B49, 'Asset Register'!A:B, 2, FALSE), "")</f>
        <v/>
      </c>
      <c r="I49" s="83" t="str">
        <f>IF(OR(G49="", H49=""), "",
 INDEX(_RiskMatrix!$B$2:$D$4,
  MATCH(G49, _RiskMatrix!$A$2:$A$4, 0),
  MATCH(H49, _RiskMatrix!$B$1:$D$1, 0)
 ))</f>
        <v/>
      </c>
      <c r="J49" s="92" t="str">
        <f t="shared" si="0"/>
        <v/>
      </c>
    </row>
    <row r="50" spans="3:10">
      <c r="C50" s="89" t="str">
        <f>IFERROR(VLOOKUP(B50, 'Asset Register'!A:B, 2, FALSE), "")</f>
        <v/>
      </c>
      <c r="I50" s="83" t="str">
        <f>IF(OR(G50="", H50=""), "",
 INDEX(_RiskMatrix!$B$2:$D$4,
  MATCH(G50, _RiskMatrix!$A$2:$A$4, 0),
  MATCH(H50, _RiskMatrix!$B$1:$D$1, 0)
 ))</f>
        <v/>
      </c>
      <c r="J50" s="92" t="str">
        <f t="shared" si="0"/>
        <v/>
      </c>
    </row>
    <row r="51" spans="3:10">
      <c r="C51" s="89" t="str">
        <f>IFERROR(VLOOKUP(B51, 'Asset Register'!A:B, 2, FALSE), "")</f>
        <v/>
      </c>
      <c r="I51" s="83" t="str">
        <f>IF(OR(G51="", H51=""), "",
 INDEX(_RiskMatrix!$B$2:$D$4,
  MATCH(G51, _RiskMatrix!$A$2:$A$4, 0),
  MATCH(H51, _RiskMatrix!$B$1:$D$1, 0)
 ))</f>
        <v/>
      </c>
      <c r="J51" s="92" t="str">
        <f t="shared" si="0"/>
        <v/>
      </c>
    </row>
    <row r="52" spans="3:10">
      <c r="C52" s="89" t="str">
        <f>IFERROR(VLOOKUP(B52, 'Asset Register'!A:B, 2, FALSE), "")</f>
        <v/>
      </c>
      <c r="I52" s="83" t="str">
        <f>IF(OR(G52="", H52=""), "",
 INDEX(_RiskMatrix!$B$2:$D$4,
  MATCH(G52, _RiskMatrix!$A$2:$A$4, 0),
  MATCH(H52, _RiskMatrix!$B$1:$D$1, 0)
 ))</f>
        <v/>
      </c>
      <c r="J52" s="92" t="str">
        <f t="shared" si="0"/>
        <v/>
      </c>
    </row>
    <row r="53" spans="3:10">
      <c r="C53" s="89" t="str">
        <f>IFERROR(VLOOKUP(B53, 'Asset Register'!A:B, 2, FALSE), "")</f>
        <v/>
      </c>
      <c r="I53" s="83" t="str">
        <f>IF(OR(G53="", H53=""), "",
 INDEX(_RiskMatrix!$B$2:$D$4,
  MATCH(G53, _RiskMatrix!$A$2:$A$4, 0),
  MATCH(H53, _RiskMatrix!$B$1:$D$1, 0)
 ))</f>
        <v/>
      </c>
      <c r="J53" s="92" t="str">
        <f t="shared" si="0"/>
        <v/>
      </c>
    </row>
    <row r="54" spans="3:10">
      <c r="C54" s="89" t="str">
        <f>IFERROR(VLOOKUP(B54, 'Asset Register'!A:B, 2, FALSE), "")</f>
        <v/>
      </c>
      <c r="I54" s="83" t="str">
        <f>IF(OR(G54="", H54=""), "",
 INDEX(_RiskMatrix!$B$2:$D$4,
  MATCH(G54, _RiskMatrix!$A$2:$A$4, 0),
  MATCH(H54, _RiskMatrix!$B$1:$D$1, 0)
 ))</f>
        <v/>
      </c>
      <c r="J54" s="92" t="str">
        <f t="shared" si="0"/>
        <v/>
      </c>
    </row>
    <row r="55" spans="3:10">
      <c r="C55" s="89" t="str">
        <f>IFERROR(VLOOKUP(B55, 'Asset Register'!A:B, 2, FALSE), "")</f>
        <v/>
      </c>
      <c r="I55" s="83" t="str">
        <f>IF(OR(G55="", H55=""), "",
 INDEX(_RiskMatrix!$B$2:$D$4,
  MATCH(G55, _RiskMatrix!$A$2:$A$4, 0),
  MATCH(H55, _RiskMatrix!$B$1:$D$1, 0)
 ))</f>
        <v/>
      </c>
      <c r="J55" s="92" t="str">
        <f t="shared" si="0"/>
        <v/>
      </c>
    </row>
    <row r="56" spans="3:10">
      <c r="C56" s="89" t="str">
        <f>IFERROR(VLOOKUP(B56, 'Asset Register'!A:B, 2, FALSE), "")</f>
        <v/>
      </c>
      <c r="I56" s="83" t="str">
        <f>IF(OR(G56="", H56=""), "",
 INDEX(_RiskMatrix!$B$2:$D$4,
  MATCH(G56, _RiskMatrix!$A$2:$A$4, 0),
  MATCH(H56, _RiskMatrix!$B$1:$D$1, 0)
 ))</f>
        <v/>
      </c>
      <c r="J56" s="92" t="str">
        <f t="shared" si="0"/>
        <v/>
      </c>
    </row>
    <row r="57" spans="3:10">
      <c r="C57" s="89" t="str">
        <f>IFERROR(VLOOKUP(B57, 'Asset Register'!A:B, 2, FALSE), "")</f>
        <v/>
      </c>
      <c r="I57" s="83" t="str">
        <f>IF(OR(G57="", H57=""), "",
 INDEX(_RiskMatrix!$B$2:$D$4,
  MATCH(G57, _RiskMatrix!$A$2:$A$4, 0),
  MATCH(H57, _RiskMatrix!$B$1:$D$1, 0)
 ))</f>
        <v/>
      </c>
      <c r="J57" s="92" t="str">
        <f t="shared" si="0"/>
        <v/>
      </c>
    </row>
    <row r="58" spans="3:10">
      <c r="C58" s="89" t="str">
        <f>IFERROR(VLOOKUP(B58, 'Asset Register'!A:B, 2, FALSE), "")</f>
        <v/>
      </c>
      <c r="I58" s="83" t="str">
        <f>IF(OR(G58="", H58=""), "",
 INDEX(_RiskMatrix!$B$2:$D$4,
  MATCH(G58, _RiskMatrix!$A$2:$A$4, 0),
  MATCH(H58, _RiskMatrix!$B$1:$D$1, 0)
 ))</f>
        <v/>
      </c>
      <c r="J58" s="92" t="str">
        <f t="shared" si="0"/>
        <v/>
      </c>
    </row>
    <row r="59" spans="3:10">
      <c r="C59" s="89" t="str">
        <f>IFERROR(VLOOKUP(B59, 'Asset Register'!A:B, 2, FALSE), "")</f>
        <v/>
      </c>
      <c r="I59" s="83" t="str">
        <f>IF(OR(G59="", H59=""), "",
 INDEX(_RiskMatrix!$B$2:$D$4,
  MATCH(G59, _RiskMatrix!$A$2:$A$4, 0),
  MATCH(H59, _RiskMatrix!$B$1:$D$1, 0)
 ))</f>
        <v/>
      </c>
      <c r="J59" s="92" t="str">
        <f t="shared" si="0"/>
        <v/>
      </c>
    </row>
    <row r="60" spans="3:10">
      <c r="C60" s="89" t="str">
        <f>IFERROR(VLOOKUP(B60, 'Asset Register'!A:B, 2, FALSE), "")</f>
        <v/>
      </c>
      <c r="I60" s="83" t="str">
        <f>IF(OR(G60="", H60=""), "",
 INDEX(_RiskMatrix!$B$2:$D$4,
  MATCH(G60, _RiskMatrix!$A$2:$A$4, 0),
  MATCH(H60, _RiskMatrix!$B$1:$D$1, 0)
 ))</f>
        <v/>
      </c>
      <c r="J60" s="92" t="str">
        <f t="shared" si="0"/>
        <v/>
      </c>
    </row>
    <row r="61" spans="3:10">
      <c r="C61" s="89" t="str">
        <f>IFERROR(VLOOKUP(B61, 'Asset Register'!A:B, 2, FALSE), "")</f>
        <v/>
      </c>
      <c r="I61" s="83" t="str">
        <f>IF(OR(G61="", H61=""), "",
 INDEX(_RiskMatrix!$B$2:$D$4,
  MATCH(G61, _RiskMatrix!$A$2:$A$4, 0),
  MATCH(H61, _RiskMatrix!$B$1:$D$1, 0)
 ))</f>
        <v/>
      </c>
      <c r="J61" s="92" t="str">
        <f t="shared" si="0"/>
        <v/>
      </c>
    </row>
    <row r="62" spans="3:10">
      <c r="C62" s="89" t="str">
        <f>IFERROR(VLOOKUP(B62, 'Asset Register'!A:B, 2, FALSE), "")</f>
        <v/>
      </c>
      <c r="I62" s="83" t="str">
        <f>IF(OR(G62="", H62=""), "",
 INDEX(_RiskMatrix!$B$2:$D$4,
  MATCH(G62, _RiskMatrix!$A$2:$A$4, 0),
  MATCH(H62, _RiskMatrix!$B$1:$D$1, 0)
 ))</f>
        <v/>
      </c>
      <c r="J62" s="92" t="str">
        <f t="shared" si="0"/>
        <v/>
      </c>
    </row>
    <row r="63" spans="3:10">
      <c r="C63" s="89" t="str">
        <f>IFERROR(VLOOKUP(B63, 'Asset Register'!A:B, 2, FALSE), "")</f>
        <v/>
      </c>
      <c r="I63" s="83" t="str">
        <f>IF(OR(G63="", H63=""), "",
 INDEX(_RiskMatrix!$B$2:$D$4,
  MATCH(G63, _RiskMatrix!$A$2:$A$4, 0),
  MATCH(H63, _RiskMatrix!$B$1:$D$1, 0)
 ))</f>
        <v/>
      </c>
      <c r="J63" s="92" t="str">
        <f t="shared" si="0"/>
        <v/>
      </c>
    </row>
    <row r="64" spans="3:10">
      <c r="C64" s="89" t="str">
        <f>IFERROR(VLOOKUP(B64, 'Asset Register'!A:B, 2, FALSE), "")</f>
        <v/>
      </c>
      <c r="I64" s="83" t="str">
        <f>IF(OR(G64="", H64=""), "",
 INDEX(_RiskMatrix!$B$2:$D$4,
  MATCH(G64, _RiskMatrix!$A$2:$A$4, 0),
  MATCH(H64, _RiskMatrix!$B$1:$D$1, 0)
 ))</f>
        <v/>
      </c>
      <c r="J64" s="92" t="str">
        <f t="shared" si="0"/>
        <v/>
      </c>
    </row>
    <row r="65" spans="3:10">
      <c r="C65" s="89" t="str">
        <f>IFERROR(VLOOKUP(B65, 'Asset Register'!A:B, 2, FALSE), "")</f>
        <v/>
      </c>
      <c r="I65" s="83" t="str">
        <f>IF(OR(G65="", H65=""), "",
 INDEX(_RiskMatrix!$B$2:$D$4,
  MATCH(G65, _RiskMatrix!$A$2:$A$4, 0),
  MATCH(H65, _RiskMatrix!$B$1:$D$1, 0)
 ))</f>
        <v/>
      </c>
      <c r="J65" s="92" t="str">
        <f t="shared" si="0"/>
        <v/>
      </c>
    </row>
    <row r="66" spans="3:10">
      <c r="C66" s="89" t="str">
        <f>IFERROR(VLOOKUP(B66, 'Asset Register'!A:B, 2, FALSE), "")</f>
        <v/>
      </c>
      <c r="I66" s="83" t="str">
        <f>IF(OR(G66="", H66=""), "",
 INDEX(_RiskMatrix!$B$2:$D$4,
  MATCH(G66, _RiskMatrix!$A$2:$A$4, 0),
  MATCH(H66, _RiskMatrix!$B$1:$D$1, 0)
 ))</f>
        <v/>
      </c>
      <c r="J66" s="92" t="str">
        <f t="shared" si="0"/>
        <v/>
      </c>
    </row>
    <row r="67" spans="3:10">
      <c r="C67" s="89" t="str">
        <f>IFERROR(VLOOKUP(B67, 'Asset Register'!A:B, 2, FALSE), "")</f>
        <v/>
      </c>
      <c r="I67" s="83" t="str">
        <f>IF(OR(G67="", H67=""), "",
 INDEX(_RiskMatrix!$B$2:$D$4,
  MATCH(G67, _RiskMatrix!$A$2:$A$4, 0),
  MATCH(H67, _RiskMatrix!$B$1:$D$1, 0)
 ))</f>
        <v/>
      </c>
      <c r="J67" s="92" t="str">
        <f t="shared" ref="J67:J130" si="1">IF(I67="", "", I67)</f>
        <v/>
      </c>
    </row>
    <row r="68" spans="3:10">
      <c r="C68" s="89" t="str">
        <f>IFERROR(VLOOKUP(B68, 'Asset Register'!A:B, 2, FALSE), "")</f>
        <v/>
      </c>
      <c r="I68" s="83" t="str">
        <f>IF(OR(G68="", H68=""), "",
 INDEX(_RiskMatrix!$B$2:$D$4,
  MATCH(G68, _RiskMatrix!$A$2:$A$4, 0),
  MATCH(H68, _RiskMatrix!$B$1:$D$1, 0)
 ))</f>
        <v/>
      </c>
      <c r="J68" s="92" t="str">
        <f t="shared" si="1"/>
        <v/>
      </c>
    </row>
    <row r="69" spans="3:10">
      <c r="C69" s="89" t="str">
        <f>IFERROR(VLOOKUP(B69, 'Asset Register'!A:B, 2, FALSE), "")</f>
        <v/>
      </c>
      <c r="I69" s="83" t="str">
        <f>IF(OR(G69="", H69=""), "",
 INDEX(_RiskMatrix!$B$2:$D$4,
  MATCH(G69, _RiskMatrix!$A$2:$A$4, 0),
  MATCH(H69, _RiskMatrix!$B$1:$D$1, 0)
 ))</f>
        <v/>
      </c>
      <c r="J69" s="92" t="str">
        <f t="shared" si="1"/>
        <v/>
      </c>
    </row>
    <row r="70" spans="3:10">
      <c r="C70" s="89" t="str">
        <f>IFERROR(VLOOKUP(B70, 'Asset Register'!A:B, 2, FALSE), "")</f>
        <v/>
      </c>
      <c r="I70" s="83" t="str">
        <f>IF(OR(G70="", H70=""), "",
 INDEX(_RiskMatrix!$B$2:$D$4,
  MATCH(G70, _RiskMatrix!$A$2:$A$4, 0),
  MATCH(H70, _RiskMatrix!$B$1:$D$1, 0)
 ))</f>
        <v/>
      </c>
      <c r="J70" s="92" t="str">
        <f t="shared" si="1"/>
        <v/>
      </c>
    </row>
    <row r="71" spans="3:10">
      <c r="C71" s="89" t="str">
        <f>IFERROR(VLOOKUP(B71, 'Asset Register'!A:B, 2, FALSE), "")</f>
        <v/>
      </c>
      <c r="I71" s="83" t="str">
        <f>IF(OR(G71="", H71=""), "",
 INDEX(_RiskMatrix!$B$2:$D$4,
  MATCH(G71, _RiskMatrix!$A$2:$A$4, 0),
  MATCH(H71, _RiskMatrix!$B$1:$D$1, 0)
 ))</f>
        <v/>
      </c>
      <c r="J71" s="92" t="str">
        <f t="shared" si="1"/>
        <v/>
      </c>
    </row>
    <row r="72" spans="3:10">
      <c r="C72" s="89" t="str">
        <f>IFERROR(VLOOKUP(B72, 'Asset Register'!A:B, 2, FALSE), "")</f>
        <v/>
      </c>
      <c r="I72" s="83" t="str">
        <f>IF(OR(G72="", H72=""), "",
 INDEX(_RiskMatrix!$B$2:$D$4,
  MATCH(G72, _RiskMatrix!$A$2:$A$4, 0),
  MATCH(H72, _RiskMatrix!$B$1:$D$1, 0)
 ))</f>
        <v/>
      </c>
      <c r="J72" s="92" t="str">
        <f t="shared" si="1"/>
        <v/>
      </c>
    </row>
    <row r="73" spans="3:10">
      <c r="C73" s="89" t="str">
        <f>IFERROR(VLOOKUP(B73, 'Asset Register'!A:B, 2, FALSE), "")</f>
        <v/>
      </c>
      <c r="I73" s="83" t="str">
        <f>IF(OR(G73="", H73=""), "",
 INDEX(_RiskMatrix!$B$2:$D$4,
  MATCH(G73, _RiskMatrix!$A$2:$A$4, 0),
  MATCH(H73, _RiskMatrix!$B$1:$D$1, 0)
 ))</f>
        <v/>
      </c>
      <c r="J73" s="92" t="str">
        <f t="shared" si="1"/>
        <v/>
      </c>
    </row>
    <row r="74" spans="3:10">
      <c r="C74" s="89" t="str">
        <f>IFERROR(VLOOKUP(B74, 'Asset Register'!A:B, 2, FALSE), "")</f>
        <v/>
      </c>
      <c r="I74" s="83" t="str">
        <f>IF(OR(G74="", H74=""), "",
 INDEX(_RiskMatrix!$B$2:$D$4,
  MATCH(G74, _RiskMatrix!$A$2:$A$4, 0),
  MATCH(H74, _RiskMatrix!$B$1:$D$1, 0)
 ))</f>
        <v/>
      </c>
      <c r="J74" s="92" t="str">
        <f t="shared" si="1"/>
        <v/>
      </c>
    </row>
    <row r="75" spans="3:10">
      <c r="C75" s="89" t="str">
        <f>IFERROR(VLOOKUP(B75, 'Asset Register'!A:B, 2, FALSE), "")</f>
        <v/>
      </c>
      <c r="I75" s="83" t="str">
        <f>IF(OR(G75="", H75=""), "",
 INDEX(_RiskMatrix!$B$2:$D$4,
  MATCH(G75, _RiskMatrix!$A$2:$A$4, 0),
  MATCH(H75, _RiskMatrix!$B$1:$D$1, 0)
 ))</f>
        <v/>
      </c>
      <c r="J75" s="92" t="str">
        <f t="shared" si="1"/>
        <v/>
      </c>
    </row>
    <row r="76" spans="3:10">
      <c r="C76" s="89" t="str">
        <f>IFERROR(VLOOKUP(B76, 'Asset Register'!A:B, 2, FALSE), "")</f>
        <v/>
      </c>
      <c r="I76" s="83" t="str">
        <f>IF(OR(G76="", H76=""), "",
 INDEX(_RiskMatrix!$B$2:$D$4,
  MATCH(G76, _RiskMatrix!$A$2:$A$4, 0),
  MATCH(H76, _RiskMatrix!$B$1:$D$1, 0)
 ))</f>
        <v/>
      </c>
      <c r="J76" s="92" t="str">
        <f t="shared" si="1"/>
        <v/>
      </c>
    </row>
    <row r="77" spans="3:10">
      <c r="C77" s="89" t="str">
        <f>IFERROR(VLOOKUP(B77, 'Asset Register'!A:B, 2, FALSE), "")</f>
        <v/>
      </c>
      <c r="I77" s="83" t="str">
        <f>IF(OR(G77="", H77=""), "",
 INDEX(_RiskMatrix!$B$2:$D$4,
  MATCH(G77, _RiskMatrix!$A$2:$A$4, 0),
  MATCH(H77, _RiskMatrix!$B$1:$D$1, 0)
 ))</f>
        <v/>
      </c>
      <c r="J77" s="92" t="str">
        <f t="shared" si="1"/>
        <v/>
      </c>
    </row>
    <row r="78" spans="3:10">
      <c r="C78" s="89" t="str">
        <f>IFERROR(VLOOKUP(B78, 'Asset Register'!A:B, 2, FALSE), "")</f>
        <v/>
      </c>
      <c r="I78" s="83" t="str">
        <f>IF(OR(G78="", H78=""), "",
 INDEX(_RiskMatrix!$B$2:$D$4,
  MATCH(G78, _RiskMatrix!$A$2:$A$4, 0),
  MATCH(H78, _RiskMatrix!$B$1:$D$1, 0)
 ))</f>
        <v/>
      </c>
      <c r="J78" s="92" t="str">
        <f t="shared" si="1"/>
        <v/>
      </c>
    </row>
    <row r="79" spans="3:10">
      <c r="C79" s="89" t="str">
        <f>IFERROR(VLOOKUP(B79, 'Asset Register'!A:B, 2, FALSE), "")</f>
        <v/>
      </c>
      <c r="I79" s="83" t="str">
        <f>IF(OR(G79="", H79=""), "",
 INDEX(_RiskMatrix!$B$2:$D$4,
  MATCH(G79, _RiskMatrix!$A$2:$A$4, 0),
  MATCH(H79, _RiskMatrix!$B$1:$D$1, 0)
 ))</f>
        <v/>
      </c>
      <c r="J79" s="92" t="str">
        <f t="shared" si="1"/>
        <v/>
      </c>
    </row>
    <row r="80" spans="3:10">
      <c r="C80" s="89" t="str">
        <f>IFERROR(VLOOKUP(B80, 'Asset Register'!A:B, 2, FALSE), "")</f>
        <v/>
      </c>
      <c r="I80" s="83" t="str">
        <f>IF(OR(G80="", H80=""), "",
 INDEX(_RiskMatrix!$B$2:$D$4,
  MATCH(G80, _RiskMatrix!$A$2:$A$4, 0),
  MATCH(H80, _RiskMatrix!$B$1:$D$1, 0)
 ))</f>
        <v/>
      </c>
      <c r="J80" s="92" t="str">
        <f t="shared" si="1"/>
        <v/>
      </c>
    </row>
    <row r="81" spans="3:10">
      <c r="C81" s="89" t="str">
        <f>IFERROR(VLOOKUP(B81, 'Asset Register'!A:B, 2, FALSE), "")</f>
        <v/>
      </c>
      <c r="I81" s="83" t="str">
        <f>IF(OR(G81="", H81=""), "",
 INDEX(_RiskMatrix!$B$2:$D$4,
  MATCH(G81, _RiskMatrix!$A$2:$A$4, 0),
  MATCH(H81, _RiskMatrix!$B$1:$D$1, 0)
 ))</f>
        <v/>
      </c>
      <c r="J81" s="92" t="str">
        <f t="shared" si="1"/>
        <v/>
      </c>
    </row>
    <row r="82" spans="3:10">
      <c r="C82" s="89" t="str">
        <f>IFERROR(VLOOKUP(B82, 'Asset Register'!A:B, 2, FALSE), "")</f>
        <v/>
      </c>
      <c r="I82" s="83" t="str">
        <f>IF(OR(G82="", H82=""), "",
 INDEX(_RiskMatrix!$B$2:$D$4,
  MATCH(G82, _RiskMatrix!$A$2:$A$4, 0),
  MATCH(H82, _RiskMatrix!$B$1:$D$1, 0)
 ))</f>
        <v/>
      </c>
      <c r="J82" s="92" t="str">
        <f t="shared" si="1"/>
        <v/>
      </c>
    </row>
    <row r="83" spans="3:10">
      <c r="C83" s="89" t="str">
        <f>IFERROR(VLOOKUP(B83, 'Asset Register'!A:B, 2, FALSE), "")</f>
        <v/>
      </c>
      <c r="I83" s="83" t="str">
        <f>IF(OR(G83="", H83=""), "",
 INDEX(_RiskMatrix!$B$2:$D$4,
  MATCH(G83, _RiskMatrix!$A$2:$A$4, 0),
  MATCH(H83, _RiskMatrix!$B$1:$D$1, 0)
 ))</f>
        <v/>
      </c>
      <c r="J83" s="92" t="str">
        <f t="shared" si="1"/>
        <v/>
      </c>
    </row>
    <row r="84" spans="3:10">
      <c r="C84" s="89" t="str">
        <f>IFERROR(VLOOKUP(B84, 'Asset Register'!A:B, 2, FALSE), "")</f>
        <v/>
      </c>
      <c r="I84" s="83" t="str">
        <f>IF(OR(G84="", H84=""), "",
 INDEX(_RiskMatrix!$B$2:$D$4,
  MATCH(G84, _RiskMatrix!$A$2:$A$4, 0),
  MATCH(H84, _RiskMatrix!$B$1:$D$1, 0)
 ))</f>
        <v/>
      </c>
      <c r="J84" s="92" t="str">
        <f t="shared" si="1"/>
        <v/>
      </c>
    </row>
    <row r="85" spans="3:10">
      <c r="C85" s="89" t="str">
        <f>IFERROR(VLOOKUP(B85, 'Asset Register'!A:B, 2, FALSE), "")</f>
        <v/>
      </c>
      <c r="I85" s="83" t="str">
        <f>IF(OR(G85="", H85=""), "",
 INDEX(_RiskMatrix!$B$2:$D$4,
  MATCH(G85, _RiskMatrix!$A$2:$A$4, 0),
  MATCH(H85, _RiskMatrix!$B$1:$D$1, 0)
 ))</f>
        <v/>
      </c>
      <c r="J85" s="92" t="str">
        <f t="shared" si="1"/>
        <v/>
      </c>
    </row>
    <row r="86" spans="3:10">
      <c r="C86" s="89" t="str">
        <f>IFERROR(VLOOKUP(B86, 'Asset Register'!A:B, 2, FALSE), "")</f>
        <v/>
      </c>
      <c r="I86" s="83" t="str">
        <f>IF(OR(G86="", H86=""), "",
 INDEX(_RiskMatrix!$B$2:$D$4,
  MATCH(G86, _RiskMatrix!$A$2:$A$4, 0),
  MATCH(H86, _RiskMatrix!$B$1:$D$1, 0)
 ))</f>
        <v/>
      </c>
      <c r="J86" s="92" t="str">
        <f t="shared" si="1"/>
        <v/>
      </c>
    </row>
    <row r="87" spans="3:10">
      <c r="C87" s="89" t="str">
        <f>IFERROR(VLOOKUP(B87, 'Asset Register'!A:B, 2, FALSE), "")</f>
        <v/>
      </c>
      <c r="I87" s="83" t="str">
        <f>IF(OR(G87="", H87=""), "",
 INDEX(_RiskMatrix!$B$2:$D$4,
  MATCH(G87, _RiskMatrix!$A$2:$A$4, 0),
  MATCH(H87, _RiskMatrix!$B$1:$D$1, 0)
 ))</f>
        <v/>
      </c>
      <c r="J87" s="92" t="str">
        <f t="shared" si="1"/>
        <v/>
      </c>
    </row>
    <row r="88" spans="3:10">
      <c r="C88" s="89" t="str">
        <f>IFERROR(VLOOKUP(B88, 'Asset Register'!A:B, 2, FALSE), "")</f>
        <v/>
      </c>
      <c r="I88" s="83" t="str">
        <f>IF(OR(G88="", H88=""), "",
 INDEX(_RiskMatrix!$B$2:$D$4,
  MATCH(G88, _RiskMatrix!$A$2:$A$4, 0),
  MATCH(H88, _RiskMatrix!$B$1:$D$1, 0)
 ))</f>
        <v/>
      </c>
      <c r="J88" s="92" t="str">
        <f t="shared" si="1"/>
        <v/>
      </c>
    </row>
    <row r="89" spans="3:10">
      <c r="C89" s="89" t="str">
        <f>IFERROR(VLOOKUP(B89, 'Asset Register'!A:B, 2, FALSE), "")</f>
        <v/>
      </c>
      <c r="I89" s="83" t="str">
        <f>IF(OR(G89="", H89=""), "",
 INDEX(_RiskMatrix!$B$2:$D$4,
  MATCH(G89, _RiskMatrix!$A$2:$A$4, 0),
  MATCH(H89, _RiskMatrix!$B$1:$D$1, 0)
 ))</f>
        <v/>
      </c>
      <c r="J89" s="92" t="str">
        <f t="shared" si="1"/>
        <v/>
      </c>
    </row>
    <row r="90" spans="3:10">
      <c r="C90" s="89" t="str">
        <f>IFERROR(VLOOKUP(B90, 'Asset Register'!A:B, 2, FALSE), "")</f>
        <v/>
      </c>
      <c r="I90" s="83" t="str">
        <f>IF(OR(G90="", H90=""), "",
 INDEX(_RiskMatrix!$B$2:$D$4,
  MATCH(G90, _RiskMatrix!$A$2:$A$4, 0),
  MATCH(H90, _RiskMatrix!$B$1:$D$1, 0)
 ))</f>
        <v/>
      </c>
      <c r="J90" s="92" t="str">
        <f t="shared" si="1"/>
        <v/>
      </c>
    </row>
    <row r="91" spans="3:10">
      <c r="C91" s="89" t="str">
        <f>IFERROR(VLOOKUP(B91, 'Asset Register'!A:B, 2, FALSE), "")</f>
        <v/>
      </c>
      <c r="I91" s="83" t="str">
        <f>IF(OR(G91="", H91=""), "",
 INDEX(_RiskMatrix!$B$2:$D$4,
  MATCH(G91, _RiskMatrix!$A$2:$A$4, 0),
  MATCH(H91, _RiskMatrix!$B$1:$D$1, 0)
 ))</f>
        <v/>
      </c>
      <c r="J91" s="92" t="str">
        <f t="shared" si="1"/>
        <v/>
      </c>
    </row>
    <row r="92" spans="3:10">
      <c r="C92" s="89" t="str">
        <f>IFERROR(VLOOKUP(B92, 'Asset Register'!A:B, 2, FALSE), "")</f>
        <v/>
      </c>
      <c r="I92" s="83" t="str">
        <f>IF(OR(G92="", H92=""), "",
 INDEX(_RiskMatrix!$B$2:$D$4,
  MATCH(G92, _RiskMatrix!$A$2:$A$4, 0),
  MATCH(H92, _RiskMatrix!$B$1:$D$1, 0)
 ))</f>
        <v/>
      </c>
      <c r="J92" s="92" t="str">
        <f t="shared" si="1"/>
        <v/>
      </c>
    </row>
    <row r="93" spans="3:10">
      <c r="C93" s="89" t="str">
        <f>IFERROR(VLOOKUP(B93, 'Asset Register'!A:B, 2, FALSE), "")</f>
        <v/>
      </c>
      <c r="I93" s="83" t="str">
        <f>IF(OR(G93="", H93=""), "",
 INDEX(_RiskMatrix!$B$2:$D$4,
  MATCH(G93, _RiskMatrix!$A$2:$A$4, 0),
  MATCH(H93, _RiskMatrix!$B$1:$D$1, 0)
 ))</f>
        <v/>
      </c>
      <c r="J93" s="92" t="str">
        <f t="shared" si="1"/>
        <v/>
      </c>
    </row>
    <row r="94" spans="3:10">
      <c r="C94" s="89" t="str">
        <f>IFERROR(VLOOKUP(B94, 'Asset Register'!A:B, 2, FALSE), "")</f>
        <v/>
      </c>
      <c r="I94" s="83" t="str">
        <f>IF(OR(G94="", H94=""), "",
 INDEX(_RiskMatrix!$B$2:$D$4,
  MATCH(G94, _RiskMatrix!$A$2:$A$4, 0),
  MATCH(H94, _RiskMatrix!$B$1:$D$1, 0)
 ))</f>
        <v/>
      </c>
      <c r="J94" s="92" t="str">
        <f t="shared" si="1"/>
        <v/>
      </c>
    </row>
    <row r="95" spans="3:10">
      <c r="C95" s="89" t="str">
        <f>IFERROR(VLOOKUP(B95, 'Asset Register'!A:B, 2, FALSE), "")</f>
        <v/>
      </c>
      <c r="I95" s="83" t="str">
        <f>IF(OR(G95="", H95=""), "",
 INDEX(_RiskMatrix!$B$2:$D$4,
  MATCH(G95, _RiskMatrix!$A$2:$A$4, 0),
  MATCH(H95, _RiskMatrix!$B$1:$D$1, 0)
 ))</f>
        <v/>
      </c>
      <c r="J95" s="92" t="str">
        <f t="shared" si="1"/>
        <v/>
      </c>
    </row>
    <row r="96" spans="3:10">
      <c r="C96" s="89" t="str">
        <f>IFERROR(VLOOKUP(B96, 'Asset Register'!A:B, 2, FALSE), "")</f>
        <v/>
      </c>
      <c r="I96" s="83" t="str">
        <f>IF(OR(G96="", H96=""), "",
 INDEX(_RiskMatrix!$B$2:$D$4,
  MATCH(G96, _RiskMatrix!$A$2:$A$4, 0),
  MATCH(H96, _RiskMatrix!$B$1:$D$1, 0)
 ))</f>
        <v/>
      </c>
      <c r="J96" s="92" t="str">
        <f t="shared" si="1"/>
        <v/>
      </c>
    </row>
    <row r="97" spans="3:10">
      <c r="C97" s="89" t="str">
        <f>IFERROR(VLOOKUP(B97, 'Asset Register'!A:B, 2, FALSE), "")</f>
        <v/>
      </c>
      <c r="I97" s="83" t="str">
        <f>IF(OR(G97="", H97=""), "",
 INDEX(_RiskMatrix!$B$2:$D$4,
  MATCH(G97, _RiskMatrix!$A$2:$A$4, 0),
  MATCH(H97, _RiskMatrix!$B$1:$D$1, 0)
 ))</f>
        <v/>
      </c>
      <c r="J97" s="92" t="str">
        <f t="shared" si="1"/>
        <v/>
      </c>
    </row>
    <row r="98" spans="3:10">
      <c r="C98" s="89" t="str">
        <f>IFERROR(VLOOKUP(B98, 'Asset Register'!A:B, 2, FALSE), "")</f>
        <v/>
      </c>
      <c r="I98" s="83" t="str">
        <f>IF(OR(G98="", H98=""), "",
 INDEX(_RiskMatrix!$B$2:$D$4,
  MATCH(G98, _RiskMatrix!$A$2:$A$4, 0),
  MATCH(H98, _RiskMatrix!$B$1:$D$1, 0)
 ))</f>
        <v/>
      </c>
      <c r="J98" s="92" t="str">
        <f t="shared" si="1"/>
        <v/>
      </c>
    </row>
    <row r="99" spans="3:10">
      <c r="C99" s="89" t="str">
        <f>IFERROR(VLOOKUP(B99, 'Asset Register'!A:B, 2, FALSE), "")</f>
        <v/>
      </c>
      <c r="I99" s="83" t="str">
        <f>IF(OR(G99="", H99=""), "",
 INDEX(_RiskMatrix!$B$2:$D$4,
  MATCH(G99, _RiskMatrix!$A$2:$A$4, 0),
  MATCH(H99, _RiskMatrix!$B$1:$D$1, 0)
 ))</f>
        <v/>
      </c>
      <c r="J99" s="92" t="str">
        <f t="shared" si="1"/>
        <v/>
      </c>
    </row>
    <row r="100" spans="3:10">
      <c r="C100" s="89" t="str">
        <f>IFERROR(VLOOKUP(B100, 'Asset Register'!A:B, 2, FALSE), "")</f>
        <v/>
      </c>
      <c r="I100" s="83" t="str">
        <f>IF(OR(G100="", H100=""), "",
 INDEX(_RiskMatrix!$B$2:$D$4,
  MATCH(G100, _RiskMatrix!$A$2:$A$4, 0),
  MATCH(H100, _RiskMatrix!$B$1:$D$1, 0)
 ))</f>
        <v/>
      </c>
      <c r="J100" s="92" t="str">
        <f t="shared" si="1"/>
        <v/>
      </c>
    </row>
    <row r="101" spans="3:10">
      <c r="C101" s="89" t="str">
        <f>IFERROR(VLOOKUP(B101, 'Asset Register'!A:B, 2, FALSE), "")</f>
        <v/>
      </c>
      <c r="I101" s="83" t="str">
        <f>IF(OR(G101="", H101=""), "",
 INDEX(_RiskMatrix!$B$2:$D$4,
  MATCH(G101, _RiskMatrix!$A$2:$A$4, 0),
  MATCH(H101, _RiskMatrix!$B$1:$D$1, 0)
 ))</f>
        <v/>
      </c>
      <c r="J101" s="92" t="str">
        <f t="shared" si="1"/>
        <v/>
      </c>
    </row>
    <row r="102" spans="3:10">
      <c r="C102" s="89" t="str">
        <f>IFERROR(VLOOKUP(B102, 'Asset Register'!A:B, 2, FALSE), "")</f>
        <v/>
      </c>
      <c r="I102" s="83" t="str">
        <f>IF(OR(G102="", H102=""), "",
 INDEX(_RiskMatrix!$B$2:$D$4,
  MATCH(G102, _RiskMatrix!$A$2:$A$4, 0),
  MATCH(H102, _RiskMatrix!$B$1:$D$1, 0)
 ))</f>
        <v/>
      </c>
      <c r="J102" s="92" t="str">
        <f t="shared" si="1"/>
        <v/>
      </c>
    </row>
    <row r="103" spans="3:10">
      <c r="C103" s="89" t="str">
        <f>IFERROR(VLOOKUP(B103, 'Asset Register'!A:B, 2, FALSE), "")</f>
        <v/>
      </c>
      <c r="I103" s="83" t="str">
        <f>IF(OR(G103="", H103=""), "",
 INDEX(_RiskMatrix!$B$2:$D$4,
  MATCH(G103, _RiskMatrix!$A$2:$A$4, 0),
  MATCH(H103, _RiskMatrix!$B$1:$D$1, 0)
 ))</f>
        <v/>
      </c>
      <c r="J103" s="92" t="str">
        <f t="shared" si="1"/>
        <v/>
      </c>
    </row>
    <row r="104" spans="3:10">
      <c r="C104" s="89" t="str">
        <f>IFERROR(VLOOKUP(B104, 'Asset Register'!A:B, 2, FALSE), "")</f>
        <v/>
      </c>
      <c r="I104" s="83" t="str">
        <f>IF(OR(G104="", H104=""), "",
 INDEX(_RiskMatrix!$B$2:$D$4,
  MATCH(G104, _RiskMatrix!$A$2:$A$4, 0),
  MATCH(H104, _RiskMatrix!$B$1:$D$1, 0)
 ))</f>
        <v/>
      </c>
      <c r="J104" s="92" t="str">
        <f t="shared" si="1"/>
        <v/>
      </c>
    </row>
    <row r="105" spans="3:10">
      <c r="C105" s="89" t="str">
        <f>IFERROR(VLOOKUP(B105, 'Asset Register'!A:B, 2, FALSE), "")</f>
        <v/>
      </c>
      <c r="I105" s="83" t="str">
        <f>IF(OR(G105="", H105=""), "",
 INDEX(_RiskMatrix!$B$2:$D$4,
  MATCH(G105, _RiskMatrix!$A$2:$A$4, 0),
  MATCH(H105, _RiskMatrix!$B$1:$D$1, 0)
 ))</f>
        <v/>
      </c>
      <c r="J105" s="92" t="str">
        <f t="shared" si="1"/>
        <v/>
      </c>
    </row>
    <row r="106" spans="3:10">
      <c r="C106" s="89" t="str">
        <f>IFERROR(VLOOKUP(B106, 'Asset Register'!A:B, 2, FALSE), "")</f>
        <v/>
      </c>
      <c r="I106" s="83" t="str">
        <f>IF(OR(G106="", H106=""), "",
 INDEX(_RiskMatrix!$B$2:$D$4,
  MATCH(G106, _RiskMatrix!$A$2:$A$4, 0),
  MATCH(H106, _RiskMatrix!$B$1:$D$1, 0)
 ))</f>
        <v/>
      </c>
      <c r="J106" s="92" t="str">
        <f t="shared" si="1"/>
        <v/>
      </c>
    </row>
    <row r="107" spans="3:10">
      <c r="C107" s="89" t="str">
        <f>IFERROR(VLOOKUP(B107, 'Asset Register'!A:B, 2, FALSE), "")</f>
        <v/>
      </c>
      <c r="I107" s="83" t="str">
        <f>IF(OR(G107="", H107=""), "",
 INDEX(_RiskMatrix!$B$2:$D$4,
  MATCH(G107, _RiskMatrix!$A$2:$A$4, 0),
  MATCH(H107, _RiskMatrix!$B$1:$D$1, 0)
 ))</f>
        <v/>
      </c>
      <c r="J107" s="92" t="str">
        <f t="shared" si="1"/>
        <v/>
      </c>
    </row>
    <row r="108" spans="3:10">
      <c r="C108" s="89" t="str">
        <f>IFERROR(VLOOKUP(B108, 'Asset Register'!A:B, 2, FALSE), "")</f>
        <v/>
      </c>
      <c r="I108" s="83" t="str">
        <f>IF(OR(G108="", H108=""), "",
 INDEX(_RiskMatrix!$B$2:$D$4,
  MATCH(G108, _RiskMatrix!$A$2:$A$4, 0),
  MATCH(H108, _RiskMatrix!$B$1:$D$1, 0)
 ))</f>
        <v/>
      </c>
      <c r="J108" s="92" t="str">
        <f t="shared" si="1"/>
        <v/>
      </c>
    </row>
    <row r="109" spans="3:10">
      <c r="C109" s="89" t="str">
        <f>IFERROR(VLOOKUP(B109, 'Asset Register'!A:B, 2, FALSE), "")</f>
        <v/>
      </c>
      <c r="I109" s="83" t="str">
        <f>IF(OR(G109="", H109=""), "",
 INDEX(_RiskMatrix!$B$2:$D$4,
  MATCH(G109, _RiskMatrix!$A$2:$A$4, 0),
  MATCH(H109, _RiskMatrix!$B$1:$D$1, 0)
 ))</f>
        <v/>
      </c>
      <c r="J109" s="92" t="str">
        <f t="shared" si="1"/>
        <v/>
      </c>
    </row>
    <row r="110" spans="3:10">
      <c r="C110" s="89" t="str">
        <f>IFERROR(VLOOKUP(B110, 'Asset Register'!A:B, 2, FALSE), "")</f>
        <v/>
      </c>
      <c r="I110" s="83" t="str">
        <f>IF(OR(G110="", H110=""), "",
 INDEX(_RiskMatrix!$B$2:$D$4,
  MATCH(G110, _RiskMatrix!$A$2:$A$4, 0),
  MATCH(H110, _RiskMatrix!$B$1:$D$1, 0)
 ))</f>
        <v/>
      </c>
      <c r="J110" s="92" t="str">
        <f t="shared" si="1"/>
        <v/>
      </c>
    </row>
    <row r="111" spans="3:10">
      <c r="C111" s="89" t="str">
        <f>IFERROR(VLOOKUP(B111, 'Asset Register'!A:B, 2, FALSE), "")</f>
        <v/>
      </c>
      <c r="I111" s="83" t="str">
        <f>IF(OR(G111="", H111=""), "",
 INDEX(_RiskMatrix!$B$2:$D$4,
  MATCH(G111, _RiskMatrix!$A$2:$A$4, 0),
  MATCH(H111, _RiskMatrix!$B$1:$D$1, 0)
 ))</f>
        <v/>
      </c>
      <c r="J111" s="92" t="str">
        <f t="shared" si="1"/>
        <v/>
      </c>
    </row>
    <row r="112" spans="3:10">
      <c r="C112" s="89" t="str">
        <f>IFERROR(VLOOKUP(B112, 'Asset Register'!A:B, 2, FALSE), "")</f>
        <v/>
      </c>
      <c r="I112" s="83" t="str">
        <f>IF(OR(G112="", H112=""), "",
 INDEX(_RiskMatrix!$B$2:$D$4,
  MATCH(G112, _RiskMatrix!$A$2:$A$4, 0),
  MATCH(H112, _RiskMatrix!$B$1:$D$1, 0)
 ))</f>
        <v/>
      </c>
      <c r="J112" s="92" t="str">
        <f t="shared" si="1"/>
        <v/>
      </c>
    </row>
    <row r="113" spans="3:10">
      <c r="C113" s="89" t="str">
        <f>IFERROR(VLOOKUP(B113, 'Asset Register'!A:B, 2, FALSE), "")</f>
        <v/>
      </c>
      <c r="I113" s="83" t="str">
        <f>IF(OR(G113="", H113=""), "",
 INDEX(_RiskMatrix!$B$2:$D$4,
  MATCH(G113, _RiskMatrix!$A$2:$A$4, 0),
  MATCH(H113, _RiskMatrix!$B$1:$D$1, 0)
 ))</f>
        <v/>
      </c>
      <c r="J113" s="92" t="str">
        <f t="shared" si="1"/>
        <v/>
      </c>
    </row>
    <row r="114" spans="3:10">
      <c r="C114" s="89" t="str">
        <f>IFERROR(VLOOKUP(B114, 'Asset Register'!A:B, 2, FALSE), "")</f>
        <v/>
      </c>
      <c r="I114" s="83" t="str">
        <f>IF(OR(G114="", H114=""), "",
 INDEX(_RiskMatrix!$B$2:$D$4,
  MATCH(G114, _RiskMatrix!$A$2:$A$4, 0),
  MATCH(H114, _RiskMatrix!$B$1:$D$1, 0)
 ))</f>
        <v/>
      </c>
      <c r="J114" s="92" t="str">
        <f t="shared" si="1"/>
        <v/>
      </c>
    </row>
    <row r="115" spans="3:10">
      <c r="C115" s="89" t="str">
        <f>IFERROR(VLOOKUP(B115, 'Asset Register'!A:B, 2, FALSE), "")</f>
        <v/>
      </c>
      <c r="I115" s="83" t="str">
        <f>IF(OR(G115="", H115=""), "",
 INDEX(_RiskMatrix!$B$2:$D$4,
  MATCH(G115, _RiskMatrix!$A$2:$A$4, 0),
  MATCH(H115, _RiskMatrix!$B$1:$D$1, 0)
 ))</f>
        <v/>
      </c>
      <c r="J115" s="92" t="str">
        <f t="shared" si="1"/>
        <v/>
      </c>
    </row>
    <row r="116" spans="3:10">
      <c r="C116" s="89" t="str">
        <f>IFERROR(VLOOKUP(B116, 'Asset Register'!A:B, 2, FALSE), "")</f>
        <v/>
      </c>
      <c r="I116" s="83" t="str">
        <f>IF(OR(G116="", H116=""), "",
 INDEX(_RiskMatrix!$B$2:$D$4,
  MATCH(G116, _RiskMatrix!$A$2:$A$4, 0),
  MATCH(H116, _RiskMatrix!$B$1:$D$1, 0)
 ))</f>
        <v/>
      </c>
      <c r="J116" s="92" t="str">
        <f t="shared" si="1"/>
        <v/>
      </c>
    </row>
    <row r="117" spans="3:10">
      <c r="C117" s="89" t="str">
        <f>IFERROR(VLOOKUP(B117, 'Asset Register'!A:B, 2, FALSE), "")</f>
        <v/>
      </c>
      <c r="I117" s="83" t="str">
        <f>IF(OR(G117="", H117=""), "",
 INDEX(_RiskMatrix!$B$2:$D$4,
  MATCH(G117, _RiskMatrix!$A$2:$A$4, 0),
  MATCH(H117, _RiskMatrix!$B$1:$D$1, 0)
 ))</f>
        <v/>
      </c>
      <c r="J117" s="92" t="str">
        <f t="shared" si="1"/>
        <v/>
      </c>
    </row>
    <row r="118" spans="3:10">
      <c r="C118" s="89" t="str">
        <f>IFERROR(VLOOKUP(B118, 'Asset Register'!A:B, 2, FALSE), "")</f>
        <v/>
      </c>
      <c r="I118" s="83" t="str">
        <f>IF(OR(G118="", H118=""), "",
 INDEX(_RiskMatrix!$B$2:$D$4,
  MATCH(G118, _RiskMatrix!$A$2:$A$4, 0),
  MATCH(H118, _RiskMatrix!$B$1:$D$1, 0)
 ))</f>
        <v/>
      </c>
      <c r="J118" s="92" t="str">
        <f t="shared" si="1"/>
        <v/>
      </c>
    </row>
    <row r="119" spans="3:10">
      <c r="C119" s="89" t="str">
        <f>IFERROR(VLOOKUP(B119, 'Asset Register'!A:B, 2, FALSE), "")</f>
        <v/>
      </c>
      <c r="I119" s="83" t="str">
        <f>IF(OR(G119="", H119=""), "",
 INDEX(_RiskMatrix!$B$2:$D$4,
  MATCH(G119, _RiskMatrix!$A$2:$A$4, 0),
  MATCH(H119, _RiskMatrix!$B$1:$D$1, 0)
 ))</f>
        <v/>
      </c>
      <c r="J119" s="92" t="str">
        <f t="shared" si="1"/>
        <v/>
      </c>
    </row>
    <row r="120" spans="3:10">
      <c r="C120" s="89" t="str">
        <f>IFERROR(VLOOKUP(B120, 'Asset Register'!A:B, 2, FALSE), "")</f>
        <v/>
      </c>
      <c r="I120" s="83" t="str">
        <f>IF(OR(G120="", H120=""), "",
 INDEX(_RiskMatrix!$B$2:$D$4,
  MATCH(G120, _RiskMatrix!$A$2:$A$4, 0),
  MATCH(H120, _RiskMatrix!$B$1:$D$1, 0)
 ))</f>
        <v/>
      </c>
      <c r="J120" s="92" t="str">
        <f t="shared" si="1"/>
        <v/>
      </c>
    </row>
    <row r="121" spans="3:10">
      <c r="C121" s="89" t="str">
        <f>IFERROR(VLOOKUP(B121, 'Asset Register'!A:B, 2, FALSE), "")</f>
        <v/>
      </c>
      <c r="I121" s="83" t="str">
        <f>IF(OR(G121="", H121=""), "",
 INDEX(_RiskMatrix!$B$2:$D$4,
  MATCH(G121, _RiskMatrix!$A$2:$A$4, 0),
  MATCH(H121, _RiskMatrix!$B$1:$D$1, 0)
 ))</f>
        <v/>
      </c>
      <c r="J121" s="92" t="str">
        <f t="shared" si="1"/>
        <v/>
      </c>
    </row>
    <row r="122" spans="3:10">
      <c r="C122" s="89" t="str">
        <f>IFERROR(VLOOKUP(B122, 'Asset Register'!A:B, 2, FALSE), "")</f>
        <v/>
      </c>
      <c r="I122" s="83" t="str">
        <f>IF(OR(G122="", H122=""), "",
 INDEX(_RiskMatrix!$B$2:$D$4,
  MATCH(G122, _RiskMatrix!$A$2:$A$4, 0),
  MATCH(H122, _RiskMatrix!$B$1:$D$1, 0)
 ))</f>
        <v/>
      </c>
      <c r="J122" s="92" t="str">
        <f t="shared" si="1"/>
        <v/>
      </c>
    </row>
    <row r="123" spans="3:10">
      <c r="C123" s="89" t="str">
        <f>IFERROR(VLOOKUP(B123, 'Asset Register'!A:B, 2, FALSE), "")</f>
        <v/>
      </c>
      <c r="I123" s="83" t="str">
        <f>IF(OR(G123="", H123=""), "",
 INDEX(_RiskMatrix!$B$2:$D$4,
  MATCH(G123, _RiskMatrix!$A$2:$A$4, 0),
  MATCH(H123, _RiskMatrix!$B$1:$D$1, 0)
 ))</f>
        <v/>
      </c>
      <c r="J123" s="92" t="str">
        <f t="shared" si="1"/>
        <v/>
      </c>
    </row>
    <row r="124" spans="3:10">
      <c r="C124" s="89" t="str">
        <f>IFERROR(VLOOKUP(B124, 'Asset Register'!A:B, 2, FALSE), "")</f>
        <v/>
      </c>
      <c r="I124" s="83" t="str">
        <f>IF(OR(G124="", H124=""), "",
 INDEX(_RiskMatrix!$B$2:$D$4,
  MATCH(G124, _RiskMatrix!$A$2:$A$4, 0),
  MATCH(H124, _RiskMatrix!$B$1:$D$1, 0)
 ))</f>
        <v/>
      </c>
      <c r="J124" s="92" t="str">
        <f t="shared" si="1"/>
        <v/>
      </c>
    </row>
    <row r="125" spans="3:10">
      <c r="C125" s="89" t="str">
        <f>IFERROR(VLOOKUP(B125, 'Asset Register'!A:B, 2, FALSE), "")</f>
        <v/>
      </c>
      <c r="I125" s="83" t="str">
        <f>IF(OR(G125="", H125=""), "",
 INDEX(_RiskMatrix!$B$2:$D$4,
  MATCH(G125, _RiskMatrix!$A$2:$A$4, 0),
  MATCH(H125, _RiskMatrix!$B$1:$D$1, 0)
 ))</f>
        <v/>
      </c>
      <c r="J125" s="92" t="str">
        <f t="shared" si="1"/>
        <v/>
      </c>
    </row>
    <row r="126" spans="3:10">
      <c r="C126" s="89" t="str">
        <f>IFERROR(VLOOKUP(B126, 'Asset Register'!A:B, 2, FALSE), "")</f>
        <v/>
      </c>
      <c r="I126" s="83" t="str">
        <f>IF(OR(G126="", H126=""), "",
 INDEX(_RiskMatrix!$B$2:$D$4,
  MATCH(G126, _RiskMatrix!$A$2:$A$4, 0),
  MATCH(H126, _RiskMatrix!$B$1:$D$1, 0)
 ))</f>
        <v/>
      </c>
      <c r="J126" s="92" t="str">
        <f t="shared" si="1"/>
        <v/>
      </c>
    </row>
    <row r="127" spans="3:10">
      <c r="C127" s="89" t="str">
        <f>IFERROR(VLOOKUP(B127, 'Asset Register'!A:B, 2, FALSE), "")</f>
        <v/>
      </c>
      <c r="I127" s="83" t="str">
        <f>IF(OR(G127="", H127=""), "",
 INDEX(_RiskMatrix!$B$2:$D$4,
  MATCH(G127, _RiskMatrix!$A$2:$A$4, 0),
  MATCH(H127, _RiskMatrix!$B$1:$D$1, 0)
 ))</f>
        <v/>
      </c>
      <c r="J127" s="92" t="str">
        <f t="shared" si="1"/>
        <v/>
      </c>
    </row>
    <row r="128" spans="3:10">
      <c r="C128" s="89" t="str">
        <f>IFERROR(VLOOKUP(B128, 'Asset Register'!A:B, 2, FALSE), "")</f>
        <v/>
      </c>
      <c r="I128" s="83" t="str">
        <f>IF(OR(G128="", H128=""), "",
 INDEX(_RiskMatrix!$B$2:$D$4,
  MATCH(G128, _RiskMatrix!$A$2:$A$4, 0),
  MATCH(H128, _RiskMatrix!$B$1:$D$1, 0)
 ))</f>
        <v/>
      </c>
      <c r="J128" s="92" t="str">
        <f t="shared" si="1"/>
        <v/>
      </c>
    </row>
    <row r="129" spans="3:10">
      <c r="C129" s="89" t="str">
        <f>IFERROR(VLOOKUP(B129, 'Asset Register'!A:B, 2, FALSE), "")</f>
        <v/>
      </c>
      <c r="I129" s="83" t="str">
        <f>IF(OR(G129="", H129=""), "",
 INDEX(_RiskMatrix!$B$2:$D$4,
  MATCH(G129, _RiskMatrix!$A$2:$A$4, 0),
  MATCH(H129, _RiskMatrix!$B$1:$D$1, 0)
 ))</f>
        <v/>
      </c>
      <c r="J129" s="92" t="str">
        <f t="shared" si="1"/>
        <v/>
      </c>
    </row>
    <row r="130" spans="3:10">
      <c r="C130" s="89" t="str">
        <f>IFERROR(VLOOKUP(B130, 'Asset Register'!A:B, 2, FALSE), "")</f>
        <v/>
      </c>
      <c r="I130" s="83" t="str">
        <f>IF(OR(G130="", H130=""), "",
 INDEX(_RiskMatrix!$B$2:$D$4,
  MATCH(G130, _RiskMatrix!$A$2:$A$4, 0),
  MATCH(H130, _RiskMatrix!$B$1:$D$1, 0)
 ))</f>
        <v/>
      </c>
      <c r="J130" s="92" t="str">
        <f t="shared" si="1"/>
        <v/>
      </c>
    </row>
    <row r="131" spans="3:10">
      <c r="C131" s="89" t="str">
        <f>IFERROR(VLOOKUP(B131, 'Asset Register'!A:B, 2, FALSE), "")</f>
        <v/>
      </c>
      <c r="I131" s="83" t="str">
        <f>IF(OR(G131="", H131=""), "",
 INDEX(_RiskMatrix!$B$2:$D$4,
  MATCH(G131, _RiskMatrix!$A$2:$A$4, 0),
  MATCH(H131, _RiskMatrix!$B$1:$D$1, 0)
 ))</f>
        <v/>
      </c>
      <c r="J131" s="92" t="str">
        <f t="shared" ref="J131:J194" si="2">IF(I131="", "", I131)</f>
        <v/>
      </c>
    </row>
    <row r="132" spans="3:10">
      <c r="C132" s="89" t="str">
        <f>IFERROR(VLOOKUP(B132, 'Asset Register'!A:B, 2, FALSE), "")</f>
        <v/>
      </c>
      <c r="I132" s="83" t="str">
        <f>IF(OR(G132="", H132=""), "",
 INDEX(_RiskMatrix!$B$2:$D$4,
  MATCH(G132, _RiskMatrix!$A$2:$A$4, 0),
  MATCH(H132, _RiskMatrix!$B$1:$D$1, 0)
 ))</f>
        <v/>
      </c>
      <c r="J132" s="92" t="str">
        <f t="shared" si="2"/>
        <v/>
      </c>
    </row>
    <row r="133" spans="3:10">
      <c r="C133" s="89" t="str">
        <f>IFERROR(VLOOKUP(B133, 'Asset Register'!A:B, 2, FALSE), "")</f>
        <v/>
      </c>
      <c r="I133" s="83" t="str">
        <f>IF(OR(G133="", H133=""), "",
 INDEX(_RiskMatrix!$B$2:$D$4,
  MATCH(G133, _RiskMatrix!$A$2:$A$4, 0),
  MATCH(H133, _RiskMatrix!$B$1:$D$1, 0)
 ))</f>
        <v/>
      </c>
      <c r="J133" s="92" t="str">
        <f t="shared" si="2"/>
        <v/>
      </c>
    </row>
    <row r="134" spans="3:10">
      <c r="C134" s="89" t="str">
        <f>IFERROR(VLOOKUP(B134, 'Asset Register'!A:B, 2, FALSE), "")</f>
        <v/>
      </c>
      <c r="I134" s="83" t="str">
        <f>IF(OR(G134="", H134=""), "",
 INDEX(_RiskMatrix!$B$2:$D$4,
  MATCH(G134, _RiskMatrix!$A$2:$A$4, 0),
  MATCH(H134, _RiskMatrix!$B$1:$D$1, 0)
 ))</f>
        <v/>
      </c>
      <c r="J134" s="92" t="str">
        <f t="shared" si="2"/>
        <v/>
      </c>
    </row>
    <row r="135" spans="3:10">
      <c r="C135" s="89" t="str">
        <f>IFERROR(VLOOKUP(B135, 'Asset Register'!A:B, 2, FALSE), "")</f>
        <v/>
      </c>
      <c r="I135" s="83" t="str">
        <f>IF(OR(G135="", H135=""), "",
 INDEX(_RiskMatrix!$B$2:$D$4,
  MATCH(G135, _RiskMatrix!$A$2:$A$4, 0),
  MATCH(H135, _RiskMatrix!$B$1:$D$1, 0)
 ))</f>
        <v/>
      </c>
      <c r="J135" s="92" t="str">
        <f t="shared" si="2"/>
        <v/>
      </c>
    </row>
    <row r="136" spans="3:10">
      <c r="C136" s="89" t="str">
        <f>IFERROR(VLOOKUP(B136, 'Asset Register'!A:B, 2, FALSE), "")</f>
        <v/>
      </c>
      <c r="I136" s="83" t="str">
        <f>IF(OR(G136="", H136=""), "",
 INDEX(_RiskMatrix!$B$2:$D$4,
  MATCH(G136, _RiskMatrix!$A$2:$A$4, 0),
  MATCH(H136, _RiskMatrix!$B$1:$D$1, 0)
 ))</f>
        <v/>
      </c>
      <c r="J136" s="92" t="str">
        <f t="shared" si="2"/>
        <v/>
      </c>
    </row>
    <row r="137" spans="3:10">
      <c r="C137" s="89" t="str">
        <f>IFERROR(VLOOKUP(B137, 'Asset Register'!A:B, 2, FALSE), "")</f>
        <v/>
      </c>
      <c r="I137" s="83" t="str">
        <f>IF(OR(G137="", H137=""), "",
 INDEX(_RiskMatrix!$B$2:$D$4,
  MATCH(G137, _RiskMatrix!$A$2:$A$4, 0),
  MATCH(H137, _RiskMatrix!$B$1:$D$1, 0)
 ))</f>
        <v/>
      </c>
      <c r="J137" s="92" t="str">
        <f t="shared" si="2"/>
        <v/>
      </c>
    </row>
    <row r="138" spans="3:10">
      <c r="C138" s="89" t="str">
        <f>IFERROR(VLOOKUP(B138, 'Asset Register'!A:B, 2, FALSE), "")</f>
        <v/>
      </c>
      <c r="I138" s="83" t="str">
        <f>IF(OR(G138="", H138=""), "",
 INDEX(_RiskMatrix!$B$2:$D$4,
  MATCH(G138, _RiskMatrix!$A$2:$A$4, 0),
  MATCH(H138, _RiskMatrix!$B$1:$D$1, 0)
 ))</f>
        <v/>
      </c>
      <c r="J138" s="92" t="str">
        <f t="shared" si="2"/>
        <v/>
      </c>
    </row>
    <row r="139" spans="3:10">
      <c r="C139" s="89" t="str">
        <f>IFERROR(VLOOKUP(B139, 'Asset Register'!A:B, 2, FALSE), "")</f>
        <v/>
      </c>
      <c r="I139" s="83" t="str">
        <f>IF(OR(G139="", H139=""), "",
 INDEX(_RiskMatrix!$B$2:$D$4,
  MATCH(G139, _RiskMatrix!$A$2:$A$4, 0),
  MATCH(H139, _RiskMatrix!$B$1:$D$1, 0)
 ))</f>
        <v/>
      </c>
      <c r="J139" s="92" t="str">
        <f t="shared" si="2"/>
        <v/>
      </c>
    </row>
    <row r="140" spans="3:10">
      <c r="C140" s="89" t="str">
        <f>IFERROR(VLOOKUP(B140, 'Asset Register'!A:B, 2, FALSE), "")</f>
        <v/>
      </c>
      <c r="I140" s="83" t="str">
        <f>IF(OR(G140="", H140=""), "",
 INDEX(_RiskMatrix!$B$2:$D$4,
  MATCH(G140, _RiskMatrix!$A$2:$A$4, 0),
  MATCH(H140, _RiskMatrix!$B$1:$D$1, 0)
 ))</f>
        <v/>
      </c>
      <c r="J140" s="92" t="str">
        <f t="shared" si="2"/>
        <v/>
      </c>
    </row>
    <row r="141" spans="3:10">
      <c r="C141" s="89" t="str">
        <f>IFERROR(VLOOKUP(B141, 'Asset Register'!A:B, 2, FALSE), "")</f>
        <v/>
      </c>
      <c r="I141" s="83" t="str">
        <f>IF(OR(G141="", H141=""), "",
 INDEX(_RiskMatrix!$B$2:$D$4,
  MATCH(G141, _RiskMatrix!$A$2:$A$4, 0),
  MATCH(H141, _RiskMatrix!$B$1:$D$1, 0)
 ))</f>
        <v/>
      </c>
      <c r="J141" s="92" t="str">
        <f t="shared" si="2"/>
        <v/>
      </c>
    </row>
    <row r="142" spans="3:10">
      <c r="C142" s="89" t="str">
        <f>IFERROR(VLOOKUP(B142, 'Asset Register'!A:B, 2, FALSE), "")</f>
        <v/>
      </c>
      <c r="I142" s="83" t="str">
        <f>IF(OR(G142="", H142=""), "",
 INDEX(_RiskMatrix!$B$2:$D$4,
  MATCH(G142, _RiskMatrix!$A$2:$A$4, 0),
  MATCH(H142, _RiskMatrix!$B$1:$D$1, 0)
 ))</f>
        <v/>
      </c>
      <c r="J142" s="92" t="str">
        <f t="shared" si="2"/>
        <v/>
      </c>
    </row>
    <row r="143" spans="3:10">
      <c r="C143" s="89" t="str">
        <f>IFERROR(VLOOKUP(B143, 'Asset Register'!A:B, 2, FALSE), "")</f>
        <v/>
      </c>
      <c r="I143" s="83" t="str">
        <f>IF(OR(G143="", H143=""), "",
 INDEX(_RiskMatrix!$B$2:$D$4,
  MATCH(G143, _RiskMatrix!$A$2:$A$4, 0),
  MATCH(H143, _RiskMatrix!$B$1:$D$1, 0)
 ))</f>
        <v/>
      </c>
      <c r="J143" s="92" t="str">
        <f t="shared" si="2"/>
        <v/>
      </c>
    </row>
    <row r="144" spans="3:10">
      <c r="C144" s="89" t="str">
        <f>IFERROR(VLOOKUP(B144, 'Asset Register'!A:B, 2, FALSE), "")</f>
        <v/>
      </c>
      <c r="I144" s="83" t="str">
        <f>IF(OR(G144="", H144=""), "",
 INDEX(_RiskMatrix!$B$2:$D$4,
  MATCH(G144, _RiskMatrix!$A$2:$A$4, 0),
  MATCH(H144, _RiskMatrix!$B$1:$D$1, 0)
 ))</f>
        <v/>
      </c>
      <c r="J144" s="92" t="str">
        <f t="shared" si="2"/>
        <v/>
      </c>
    </row>
    <row r="145" spans="3:10">
      <c r="C145" s="89" t="str">
        <f>IFERROR(VLOOKUP(B145, 'Asset Register'!A:B, 2, FALSE), "")</f>
        <v/>
      </c>
      <c r="I145" s="83" t="str">
        <f>IF(OR(G145="", H145=""), "",
 INDEX(_RiskMatrix!$B$2:$D$4,
  MATCH(G145, _RiskMatrix!$A$2:$A$4, 0),
  MATCH(H145, _RiskMatrix!$B$1:$D$1, 0)
 ))</f>
        <v/>
      </c>
      <c r="J145" s="92" t="str">
        <f t="shared" si="2"/>
        <v/>
      </c>
    </row>
    <row r="146" spans="3:10">
      <c r="C146" s="89" t="str">
        <f>IFERROR(VLOOKUP(B146, 'Asset Register'!A:B, 2, FALSE), "")</f>
        <v/>
      </c>
      <c r="I146" s="83" t="str">
        <f>IF(OR(G146="", H146=""), "",
 INDEX(_RiskMatrix!$B$2:$D$4,
  MATCH(G146, _RiskMatrix!$A$2:$A$4, 0),
  MATCH(H146, _RiskMatrix!$B$1:$D$1, 0)
 ))</f>
        <v/>
      </c>
      <c r="J146" s="92" t="str">
        <f t="shared" si="2"/>
        <v/>
      </c>
    </row>
    <row r="147" spans="3:10">
      <c r="C147" s="89" t="str">
        <f>IFERROR(VLOOKUP(B147, 'Asset Register'!A:B, 2, FALSE), "")</f>
        <v/>
      </c>
      <c r="I147" s="83" t="str">
        <f>IF(OR(G147="", H147=""), "",
 INDEX(_RiskMatrix!$B$2:$D$4,
  MATCH(G147, _RiskMatrix!$A$2:$A$4, 0),
  MATCH(H147, _RiskMatrix!$B$1:$D$1, 0)
 ))</f>
        <v/>
      </c>
      <c r="J147" s="92" t="str">
        <f t="shared" si="2"/>
        <v/>
      </c>
    </row>
    <row r="148" spans="3:10">
      <c r="C148" s="89" t="str">
        <f>IFERROR(VLOOKUP(B148, 'Asset Register'!A:B, 2, FALSE), "")</f>
        <v/>
      </c>
      <c r="I148" s="83" t="str">
        <f>IF(OR(G148="", H148=""), "",
 INDEX(_RiskMatrix!$B$2:$D$4,
  MATCH(G148, _RiskMatrix!$A$2:$A$4, 0),
  MATCH(H148, _RiskMatrix!$B$1:$D$1, 0)
 ))</f>
        <v/>
      </c>
      <c r="J148" s="92" t="str">
        <f t="shared" si="2"/>
        <v/>
      </c>
    </row>
    <row r="149" spans="3:10">
      <c r="C149" s="89" t="str">
        <f>IFERROR(VLOOKUP(B149, 'Asset Register'!A:B, 2, FALSE), "")</f>
        <v/>
      </c>
      <c r="I149" s="83" t="str">
        <f>IF(OR(G149="", H149=""), "",
 INDEX(_RiskMatrix!$B$2:$D$4,
  MATCH(G149, _RiskMatrix!$A$2:$A$4, 0),
  MATCH(H149, _RiskMatrix!$B$1:$D$1, 0)
 ))</f>
        <v/>
      </c>
      <c r="J149" s="92" t="str">
        <f t="shared" si="2"/>
        <v/>
      </c>
    </row>
    <row r="150" spans="3:10">
      <c r="C150" s="89" t="str">
        <f>IFERROR(VLOOKUP(B150, 'Asset Register'!A:B, 2, FALSE), "")</f>
        <v/>
      </c>
      <c r="I150" s="83" t="str">
        <f>IF(OR(G150="", H150=""), "",
 INDEX(_RiskMatrix!$B$2:$D$4,
  MATCH(G150, _RiskMatrix!$A$2:$A$4, 0),
  MATCH(H150, _RiskMatrix!$B$1:$D$1, 0)
 ))</f>
        <v/>
      </c>
      <c r="J150" s="92" t="str">
        <f t="shared" si="2"/>
        <v/>
      </c>
    </row>
    <row r="151" spans="3:10">
      <c r="C151" s="89" t="str">
        <f>IFERROR(VLOOKUP(B151, 'Asset Register'!A:B, 2, FALSE), "")</f>
        <v/>
      </c>
      <c r="I151" s="83" t="str">
        <f>IF(OR(G151="", H151=""), "",
 INDEX(_RiskMatrix!$B$2:$D$4,
  MATCH(G151, _RiskMatrix!$A$2:$A$4, 0),
  MATCH(H151, _RiskMatrix!$B$1:$D$1, 0)
 ))</f>
        <v/>
      </c>
      <c r="J151" s="92" t="str">
        <f t="shared" si="2"/>
        <v/>
      </c>
    </row>
    <row r="152" spans="3:10">
      <c r="C152" s="89" t="str">
        <f>IFERROR(VLOOKUP(B152, 'Asset Register'!A:B, 2, FALSE), "")</f>
        <v/>
      </c>
      <c r="I152" s="83" t="str">
        <f>IF(OR(G152="", H152=""), "",
 INDEX(_RiskMatrix!$B$2:$D$4,
  MATCH(G152, _RiskMatrix!$A$2:$A$4, 0),
  MATCH(H152, _RiskMatrix!$B$1:$D$1, 0)
 ))</f>
        <v/>
      </c>
      <c r="J152" s="92" t="str">
        <f t="shared" si="2"/>
        <v/>
      </c>
    </row>
    <row r="153" spans="3:10">
      <c r="C153" s="89" t="str">
        <f>IFERROR(VLOOKUP(B153, 'Asset Register'!A:B, 2, FALSE), "")</f>
        <v/>
      </c>
      <c r="I153" s="83" t="str">
        <f>IF(OR(G153="", H153=""), "",
 INDEX(_RiskMatrix!$B$2:$D$4,
  MATCH(G153, _RiskMatrix!$A$2:$A$4, 0),
  MATCH(H153, _RiskMatrix!$B$1:$D$1, 0)
 ))</f>
        <v/>
      </c>
      <c r="J153" s="92" t="str">
        <f t="shared" si="2"/>
        <v/>
      </c>
    </row>
    <row r="154" spans="3:10">
      <c r="C154" s="89" t="str">
        <f>IFERROR(VLOOKUP(B154, 'Asset Register'!A:B, 2, FALSE), "")</f>
        <v/>
      </c>
      <c r="I154" s="83" t="str">
        <f>IF(OR(G154="", H154=""), "",
 INDEX(_RiskMatrix!$B$2:$D$4,
  MATCH(G154, _RiskMatrix!$A$2:$A$4, 0),
  MATCH(H154, _RiskMatrix!$B$1:$D$1, 0)
 ))</f>
        <v/>
      </c>
      <c r="J154" s="92" t="str">
        <f t="shared" si="2"/>
        <v/>
      </c>
    </row>
    <row r="155" spans="3:10">
      <c r="C155" s="89" t="str">
        <f>IFERROR(VLOOKUP(B155, 'Asset Register'!A:B, 2, FALSE), "")</f>
        <v/>
      </c>
      <c r="I155" s="83" t="str">
        <f>IF(OR(G155="", H155=""), "",
 INDEX(_RiskMatrix!$B$2:$D$4,
  MATCH(G155, _RiskMatrix!$A$2:$A$4, 0),
  MATCH(H155, _RiskMatrix!$B$1:$D$1, 0)
 ))</f>
        <v/>
      </c>
      <c r="J155" s="92" t="str">
        <f t="shared" si="2"/>
        <v/>
      </c>
    </row>
    <row r="156" spans="3:10">
      <c r="C156" s="89" t="str">
        <f>IFERROR(VLOOKUP(B156, 'Asset Register'!A:B, 2, FALSE), "")</f>
        <v/>
      </c>
      <c r="I156" s="83" t="str">
        <f>IF(OR(G156="", H156=""), "",
 INDEX(_RiskMatrix!$B$2:$D$4,
  MATCH(G156, _RiskMatrix!$A$2:$A$4, 0),
  MATCH(H156, _RiskMatrix!$B$1:$D$1, 0)
 ))</f>
        <v/>
      </c>
      <c r="J156" s="92" t="str">
        <f t="shared" si="2"/>
        <v/>
      </c>
    </row>
    <row r="157" spans="3:10">
      <c r="C157" s="89" t="str">
        <f>IFERROR(VLOOKUP(B157, 'Asset Register'!A:B, 2, FALSE), "")</f>
        <v/>
      </c>
      <c r="I157" s="83" t="str">
        <f>IF(OR(G157="", H157=""), "",
 INDEX(_RiskMatrix!$B$2:$D$4,
  MATCH(G157, _RiskMatrix!$A$2:$A$4, 0),
  MATCH(H157, _RiskMatrix!$B$1:$D$1, 0)
 ))</f>
        <v/>
      </c>
      <c r="J157" s="92" t="str">
        <f t="shared" si="2"/>
        <v/>
      </c>
    </row>
    <row r="158" spans="3:10">
      <c r="C158" s="89" t="str">
        <f>IFERROR(VLOOKUP(B158, 'Asset Register'!A:B, 2, FALSE), "")</f>
        <v/>
      </c>
      <c r="I158" s="83" t="str">
        <f>IF(OR(G158="", H158=""), "",
 INDEX(_RiskMatrix!$B$2:$D$4,
  MATCH(G158, _RiskMatrix!$A$2:$A$4, 0),
  MATCH(H158, _RiskMatrix!$B$1:$D$1, 0)
 ))</f>
        <v/>
      </c>
      <c r="J158" s="92" t="str">
        <f t="shared" si="2"/>
        <v/>
      </c>
    </row>
    <row r="159" spans="3:10">
      <c r="C159" s="89" t="str">
        <f>IFERROR(VLOOKUP(B159, 'Asset Register'!A:B, 2, FALSE), "")</f>
        <v/>
      </c>
      <c r="I159" s="83" t="str">
        <f>IF(OR(G159="", H159=""), "",
 INDEX(_RiskMatrix!$B$2:$D$4,
  MATCH(G159, _RiskMatrix!$A$2:$A$4, 0),
  MATCH(H159, _RiskMatrix!$B$1:$D$1, 0)
 ))</f>
        <v/>
      </c>
      <c r="J159" s="92" t="str">
        <f t="shared" si="2"/>
        <v/>
      </c>
    </row>
    <row r="160" spans="3:10">
      <c r="C160" s="89" t="str">
        <f>IFERROR(VLOOKUP(B160, 'Asset Register'!A:B, 2, FALSE), "")</f>
        <v/>
      </c>
      <c r="I160" s="83" t="str">
        <f>IF(OR(G160="", H160=""), "",
 INDEX(_RiskMatrix!$B$2:$D$4,
  MATCH(G160, _RiskMatrix!$A$2:$A$4, 0),
  MATCH(H160, _RiskMatrix!$B$1:$D$1, 0)
 ))</f>
        <v/>
      </c>
      <c r="J160" s="92" t="str">
        <f t="shared" si="2"/>
        <v/>
      </c>
    </row>
    <row r="161" spans="3:10">
      <c r="C161" s="89" t="str">
        <f>IFERROR(VLOOKUP(B161, 'Asset Register'!A:B, 2, FALSE), "")</f>
        <v/>
      </c>
      <c r="I161" s="83" t="str">
        <f>IF(OR(G161="", H161=""), "",
 INDEX(_RiskMatrix!$B$2:$D$4,
  MATCH(G161, _RiskMatrix!$A$2:$A$4, 0),
  MATCH(H161, _RiskMatrix!$B$1:$D$1, 0)
 ))</f>
        <v/>
      </c>
      <c r="J161" s="92" t="str">
        <f t="shared" si="2"/>
        <v/>
      </c>
    </row>
    <row r="162" spans="3:10">
      <c r="C162" s="89" t="str">
        <f>IFERROR(VLOOKUP(B162, 'Asset Register'!A:B, 2, FALSE), "")</f>
        <v/>
      </c>
      <c r="I162" s="83" t="str">
        <f>IF(OR(G162="", H162=""), "",
 INDEX(_RiskMatrix!$B$2:$D$4,
  MATCH(G162, _RiskMatrix!$A$2:$A$4, 0),
  MATCH(H162, _RiskMatrix!$B$1:$D$1, 0)
 ))</f>
        <v/>
      </c>
      <c r="J162" s="92" t="str">
        <f t="shared" si="2"/>
        <v/>
      </c>
    </row>
    <row r="163" spans="3:10">
      <c r="C163" s="89" t="str">
        <f>IFERROR(VLOOKUP(B163, 'Asset Register'!A:B, 2, FALSE), "")</f>
        <v/>
      </c>
      <c r="I163" s="83" t="str">
        <f>IF(OR(G163="", H163=""), "",
 INDEX(_RiskMatrix!$B$2:$D$4,
  MATCH(G163, _RiskMatrix!$A$2:$A$4, 0),
  MATCH(H163, _RiskMatrix!$B$1:$D$1, 0)
 ))</f>
        <v/>
      </c>
      <c r="J163" s="92" t="str">
        <f t="shared" si="2"/>
        <v/>
      </c>
    </row>
    <row r="164" spans="3:10">
      <c r="C164" s="89" t="str">
        <f>IFERROR(VLOOKUP(B164, 'Asset Register'!A:B, 2, FALSE), "")</f>
        <v/>
      </c>
      <c r="I164" s="83" t="str">
        <f>IF(OR(G164="", H164=""), "",
 INDEX(_RiskMatrix!$B$2:$D$4,
  MATCH(G164, _RiskMatrix!$A$2:$A$4, 0),
  MATCH(H164, _RiskMatrix!$B$1:$D$1, 0)
 ))</f>
        <v/>
      </c>
      <c r="J164" s="92" t="str">
        <f t="shared" si="2"/>
        <v/>
      </c>
    </row>
    <row r="165" spans="3:10">
      <c r="C165" s="89" t="str">
        <f>IFERROR(VLOOKUP(B165, 'Asset Register'!A:B, 2, FALSE), "")</f>
        <v/>
      </c>
      <c r="I165" s="83" t="str">
        <f>IF(OR(G165="", H165=""), "",
 INDEX(_RiskMatrix!$B$2:$D$4,
  MATCH(G165, _RiskMatrix!$A$2:$A$4, 0),
  MATCH(H165, _RiskMatrix!$B$1:$D$1, 0)
 ))</f>
        <v/>
      </c>
      <c r="J165" s="92" t="str">
        <f t="shared" si="2"/>
        <v/>
      </c>
    </row>
    <row r="166" spans="3:10">
      <c r="C166" s="89" t="str">
        <f>IFERROR(VLOOKUP(B166, 'Asset Register'!A:B, 2, FALSE), "")</f>
        <v/>
      </c>
      <c r="I166" s="83" t="str">
        <f>IF(OR(G166="", H166=""), "",
 INDEX(_RiskMatrix!$B$2:$D$4,
  MATCH(G166, _RiskMatrix!$A$2:$A$4, 0),
  MATCH(H166, _RiskMatrix!$B$1:$D$1, 0)
 ))</f>
        <v/>
      </c>
      <c r="J166" s="92" t="str">
        <f t="shared" si="2"/>
        <v/>
      </c>
    </row>
    <row r="167" spans="3:10">
      <c r="C167" s="89" t="str">
        <f>IFERROR(VLOOKUP(B167, 'Asset Register'!A:B, 2, FALSE), "")</f>
        <v/>
      </c>
      <c r="I167" s="83" t="str">
        <f>IF(OR(G167="", H167=""), "",
 INDEX(_RiskMatrix!$B$2:$D$4,
  MATCH(G167, _RiskMatrix!$A$2:$A$4, 0),
  MATCH(H167, _RiskMatrix!$B$1:$D$1, 0)
 ))</f>
        <v/>
      </c>
      <c r="J167" s="92" t="str">
        <f t="shared" si="2"/>
        <v/>
      </c>
    </row>
    <row r="168" spans="3:10">
      <c r="C168" s="89" t="str">
        <f>IFERROR(VLOOKUP(B168, 'Asset Register'!A:B, 2, FALSE), "")</f>
        <v/>
      </c>
      <c r="I168" s="83" t="str">
        <f>IF(OR(G168="", H168=""), "",
 INDEX(_RiskMatrix!$B$2:$D$4,
  MATCH(G168, _RiskMatrix!$A$2:$A$4, 0),
  MATCH(H168, _RiskMatrix!$B$1:$D$1, 0)
 ))</f>
        <v/>
      </c>
      <c r="J168" s="92" t="str">
        <f t="shared" si="2"/>
        <v/>
      </c>
    </row>
    <row r="169" spans="3:10">
      <c r="C169" s="89" t="str">
        <f>IFERROR(VLOOKUP(B169, 'Asset Register'!A:B, 2, FALSE), "")</f>
        <v/>
      </c>
      <c r="I169" s="83" t="str">
        <f>IF(OR(G169="", H169=""), "",
 INDEX(_RiskMatrix!$B$2:$D$4,
  MATCH(G169, _RiskMatrix!$A$2:$A$4, 0),
  MATCH(H169, _RiskMatrix!$B$1:$D$1, 0)
 ))</f>
        <v/>
      </c>
      <c r="J169" s="92" t="str">
        <f t="shared" si="2"/>
        <v/>
      </c>
    </row>
    <row r="170" spans="3:10">
      <c r="C170" s="89" t="str">
        <f>IFERROR(VLOOKUP(B170, 'Asset Register'!A:B, 2, FALSE), "")</f>
        <v/>
      </c>
      <c r="I170" s="83" t="str">
        <f>IF(OR(G170="", H170=""), "",
 INDEX(_RiskMatrix!$B$2:$D$4,
  MATCH(G170, _RiskMatrix!$A$2:$A$4, 0),
  MATCH(H170, _RiskMatrix!$B$1:$D$1, 0)
 ))</f>
        <v/>
      </c>
      <c r="J170" s="92" t="str">
        <f t="shared" si="2"/>
        <v/>
      </c>
    </row>
    <row r="171" spans="3:10">
      <c r="C171" s="89" t="str">
        <f>IFERROR(VLOOKUP(B171, 'Asset Register'!A:B, 2, FALSE), "")</f>
        <v/>
      </c>
      <c r="I171" s="83" t="str">
        <f>IF(OR(G171="", H171=""), "",
 INDEX(_RiskMatrix!$B$2:$D$4,
  MATCH(G171, _RiskMatrix!$A$2:$A$4, 0),
  MATCH(H171, _RiskMatrix!$B$1:$D$1, 0)
 ))</f>
        <v/>
      </c>
      <c r="J171" s="92" t="str">
        <f t="shared" si="2"/>
        <v/>
      </c>
    </row>
    <row r="172" spans="3:10">
      <c r="C172" s="89" t="str">
        <f>IFERROR(VLOOKUP(B172, 'Asset Register'!A:B, 2, FALSE), "")</f>
        <v/>
      </c>
      <c r="I172" s="83" t="str">
        <f>IF(OR(G172="", H172=""), "",
 INDEX(_RiskMatrix!$B$2:$D$4,
  MATCH(G172, _RiskMatrix!$A$2:$A$4, 0),
  MATCH(H172, _RiskMatrix!$B$1:$D$1, 0)
 ))</f>
        <v/>
      </c>
      <c r="J172" s="92" t="str">
        <f t="shared" si="2"/>
        <v/>
      </c>
    </row>
    <row r="173" spans="3:10">
      <c r="C173" s="89" t="str">
        <f>IFERROR(VLOOKUP(B173, 'Asset Register'!A:B, 2, FALSE), "")</f>
        <v/>
      </c>
      <c r="I173" s="83" t="str">
        <f>IF(OR(G173="", H173=""), "",
 INDEX(_RiskMatrix!$B$2:$D$4,
  MATCH(G173, _RiskMatrix!$A$2:$A$4, 0),
  MATCH(H173, _RiskMatrix!$B$1:$D$1, 0)
 ))</f>
        <v/>
      </c>
      <c r="J173" s="92" t="str">
        <f t="shared" si="2"/>
        <v/>
      </c>
    </row>
    <row r="174" spans="3:10">
      <c r="C174" s="89" t="str">
        <f>IFERROR(VLOOKUP(B174, 'Asset Register'!A:B, 2, FALSE), "")</f>
        <v/>
      </c>
      <c r="I174" s="83" t="str">
        <f>IF(OR(G174="", H174=""), "",
 INDEX(_RiskMatrix!$B$2:$D$4,
  MATCH(G174, _RiskMatrix!$A$2:$A$4, 0),
  MATCH(H174, _RiskMatrix!$B$1:$D$1, 0)
 ))</f>
        <v/>
      </c>
      <c r="J174" s="92" t="str">
        <f t="shared" si="2"/>
        <v/>
      </c>
    </row>
    <row r="175" spans="3:10">
      <c r="C175" s="89" t="str">
        <f>IFERROR(VLOOKUP(B175, 'Asset Register'!A:B, 2, FALSE), "")</f>
        <v/>
      </c>
      <c r="I175" s="83" t="str">
        <f>IF(OR(G175="", H175=""), "",
 INDEX(_RiskMatrix!$B$2:$D$4,
  MATCH(G175, _RiskMatrix!$A$2:$A$4, 0),
  MATCH(H175, _RiskMatrix!$B$1:$D$1, 0)
 ))</f>
        <v/>
      </c>
      <c r="J175" s="92" t="str">
        <f t="shared" si="2"/>
        <v/>
      </c>
    </row>
    <row r="176" spans="3:10">
      <c r="C176" s="89" t="str">
        <f>IFERROR(VLOOKUP(B176, 'Asset Register'!A:B, 2, FALSE), "")</f>
        <v/>
      </c>
      <c r="I176" s="83" t="str">
        <f>IF(OR(G176="", H176=""), "",
 INDEX(_RiskMatrix!$B$2:$D$4,
  MATCH(G176, _RiskMatrix!$A$2:$A$4, 0),
  MATCH(H176, _RiskMatrix!$B$1:$D$1, 0)
 ))</f>
        <v/>
      </c>
      <c r="J176" s="92" t="str">
        <f t="shared" si="2"/>
        <v/>
      </c>
    </row>
    <row r="177" spans="3:10">
      <c r="C177" s="89" t="str">
        <f>IFERROR(VLOOKUP(B177, 'Asset Register'!A:B, 2, FALSE), "")</f>
        <v/>
      </c>
      <c r="I177" s="83" t="str">
        <f>IF(OR(G177="", H177=""), "",
 INDEX(_RiskMatrix!$B$2:$D$4,
  MATCH(G177, _RiskMatrix!$A$2:$A$4, 0),
  MATCH(H177, _RiskMatrix!$B$1:$D$1, 0)
 ))</f>
        <v/>
      </c>
      <c r="J177" s="92" t="str">
        <f t="shared" si="2"/>
        <v/>
      </c>
    </row>
    <row r="178" spans="3:10">
      <c r="C178" s="89" t="str">
        <f>IFERROR(VLOOKUP(B178, 'Asset Register'!A:B, 2, FALSE), "")</f>
        <v/>
      </c>
      <c r="I178" s="83" t="str">
        <f>IF(OR(G178="", H178=""), "",
 INDEX(_RiskMatrix!$B$2:$D$4,
  MATCH(G178, _RiskMatrix!$A$2:$A$4, 0),
  MATCH(H178, _RiskMatrix!$B$1:$D$1, 0)
 ))</f>
        <v/>
      </c>
      <c r="J178" s="92" t="str">
        <f t="shared" si="2"/>
        <v/>
      </c>
    </row>
    <row r="179" spans="3:10">
      <c r="C179" s="89" t="str">
        <f>IFERROR(VLOOKUP(B179, 'Asset Register'!A:B, 2, FALSE), "")</f>
        <v/>
      </c>
      <c r="I179" s="83" t="str">
        <f>IF(OR(G179="", H179=""), "",
 INDEX(_RiskMatrix!$B$2:$D$4,
  MATCH(G179, _RiskMatrix!$A$2:$A$4, 0),
  MATCH(H179, _RiskMatrix!$B$1:$D$1, 0)
 ))</f>
        <v/>
      </c>
      <c r="J179" s="92" t="str">
        <f t="shared" si="2"/>
        <v/>
      </c>
    </row>
    <row r="180" spans="3:10">
      <c r="C180" s="89" t="str">
        <f>IFERROR(VLOOKUP(B180, 'Asset Register'!A:B, 2, FALSE), "")</f>
        <v/>
      </c>
      <c r="I180" s="83" t="str">
        <f>IF(OR(G180="", H180=""), "",
 INDEX(_RiskMatrix!$B$2:$D$4,
  MATCH(G180, _RiskMatrix!$A$2:$A$4, 0),
  MATCH(H180, _RiskMatrix!$B$1:$D$1, 0)
 ))</f>
        <v/>
      </c>
      <c r="J180" s="92" t="str">
        <f t="shared" si="2"/>
        <v/>
      </c>
    </row>
    <row r="181" spans="3:10">
      <c r="C181" s="89" t="str">
        <f>IFERROR(VLOOKUP(B181, 'Asset Register'!A:B, 2, FALSE), "")</f>
        <v/>
      </c>
      <c r="I181" s="83" t="str">
        <f>IF(OR(G181="", H181=""), "",
 INDEX(_RiskMatrix!$B$2:$D$4,
  MATCH(G181, _RiskMatrix!$A$2:$A$4, 0),
  MATCH(H181, _RiskMatrix!$B$1:$D$1, 0)
 ))</f>
        <v/>
      </c>
      <c r="J181" s="92" t="str">
        <f t="shared" si="2"/>
        <v/>
      </c>
    </row>
    <row r="182" spans="3:10">
      <c r="C182" s="89" t="str">
        <f>IFERROR(VLOOKUP(B182, 'Asset Register'!A:B, 2, FALSE), "")</f>
        <v/>
      </c>
      <c r="I182" s="83" t="str">
        <f>IF(OR(G182="", H182=""), "",
 INDEX(_RiskMatrix!$B$2:$D$4,
  MATCH(G182, _RiskMatrix!$A$2:$A$4, 0),
  MATCH(H182, _RiskMatrix!$B$1:$D$1, 0)
 ))</f>
        <v/>
      </c>
      <c r="J182" s="92" t="str">
        <f t="shared" si="2"/>
        <v/>
      </c>
    </row>
    <row r="183" spans="3:10">
      <c r="C183" s="89" t="str">
        <f>IFERROR(VLOOKUP(B183, 'Asset Register'!A:B, 2, FALSE), "")</f>
        <v/>
      </c>
      <c r="I183" s="83" t="str">
        <f>IF(OR(G183="", H183=""), "",
 INDEX(_RiskMatrix!$B$2:$D$4,
  MATCH(G183, _RiskMatrix!$A$2:$A$4, 0),
  MATCH(H183, _RiskMatrix!$B$1:$D$1, 0)
 ))</f>
        <v/>
      </c>
      <c r="J183" s="92" t="str">
        <f t="shared" si="2"/>
        <v/>
      </c>
    </row>
    <row r="184" spans="3:10">
      <c r="C184" s="89" t="str">
        <f>IFERROR(VLOOKUP(B184, 'Asset Register'!A:B, 2, FALSE), "")</f>
        <v/>
      </c>
      <c r="I184" s="83" t="str">
        <f>IF(OR(G184="", H184=""), "",
 INDEX(_RiskMatrix!$B$2:$D$4,
  MATCH(G184, _RiskMatrix!$A$2:$A$4, 0),
  MATCH(H184, _RiskMatrix!$B$1:$D$1, 0)
 ))</f>
        <v/>
      </c>
      <c r="J184" s="92" t="str">
        <f t="shared" si="2"/>
        <v/>
      </c>
    </row>
    <row r="185" spans="3:10">
      <c r="C185" s="89" t="str">
        <f>IFERROR(VLOOKUP(B185, 'Asset Register'!A:B, 2, FALSE), "")</f>
        <v/>
      </c>
      <c r="I185" s="83" t="str">
        <f>IF(OR(G185="", H185=""), "",
 INDEX(_RiskMatrix!$B$2:$D$4,
  MATCH(G185, _RiskMatrix!$A$2:$A$4, 0),
  MATCH(H185, _RiskMatrix!$B$1:$D$1, 0)
 ))</f>
        <v/>
      </c>
      <c r="J185" s="92" t="str">
        <f t="shared" si="2"/>
        <v/>
      </c>
    </row>
    <row r="186" spans="3:10">
      <c r="C186" s="89" t="str">
        <f>IFERROR(VLOOKUP(B186, 'Asset Register'!A:B, 2, FALSE), "")</f>
        <v/>
      </c>
      <c r="I186" s="83" t="str">
        <f>IF(OR(G186="", H186=""), "",
 INDEX(_RiskMatrix!$B$2:$D$4,
  MATCH(G186, _RiskMatrix!$A$2:$A$4, 0),
  MATCH(H186, _RiskMatrix!$B$1:$D$1, 0)
 ))</f>
        <v/>
      </c>
      <c r="J186" s="92" t="str">
        <f t="shared" si="2"/>
        <v/>
      </c>
    </row>
    <row r="187" spans="3:10">
      <c r="C187" s="89" t="str">
        <f>IFERROR(VLOOKUP(B187, 'Asset Register'!A:B, 2, FALSE), "")</f>
        <v/>
      </c>
      <c r="I187" s="83" t="str">
        <f>IF(OR(G187="", H187=""), "",
 INDEX(_RiskMatrix!$B$2:$D$4,
  MATCH(G187, _RiskMatrix!$A$2:$A$4, 0),
  MATCH(H187, _RiskMatrix!$B$1:$D$1, 0)
 ))</f>
        <v/>
      </c>
      <c r="J187" s="92" t="str">
        <f t="shared" si="2"/>
        <v/>
      </c>
    </row>
    <row r="188" spans="3:10">
      <c r="C188" s="89" t="str">
        <f>IFERROR(VLOOKUP(B188, 'Asset Register'!A:B, 2, FALSE), "")</f>
        <v/>
      </c>
      <c r="I188" s="83" t="str">
        <f>IF(OR(G188="", H188=""), "",
 INDEX(_RiskMatrix!$B$2:$D$4,
  MATCH(G188, _RiskMatrix!$A$2:$A$4, 0),
  MATCH(H188, _RiskMatrix!$B$1:$D$1, 0)
 ))</f>
        <v/>
      </c>
      <c r="J188" s="92" t="str">
        <f t="shared" si="2"/>
        <v/>
      </c>
    </row>
    <row r="189" spans="3:10">
      <c r="C189" s="89" t="str">
        <f>IFERROR(VLOOKUP(B189, 'Asset Register'!A:B, 2, FALSE), "")</f>
        <v/>
      </c>
      <c r="I189" s="83" t="str">
        <f>IF(OR(G189="", H189=""), "",
 INDEX(_RiskMatrix!$B$2:$D$4,
  MATCH(G189, _RiskMatrix!$A$2:$A$4, 0),
  MATCH(H189, _RiskMatrix!$B$1:$D$1, 0)
 ))</f>
        <v/>
      </c>
      <c r="J189" s="92" t="str">
        <f t="shared" si="2"/>
        <v/>
      </c>
    </row>
    <row r="190" spans="3:10">
      <c r="C190" s="89" t="str">
        <f>IFERROR(VLOOKUP(B190, 'Asset Register'!A:B, 2, FALSE), "")</f>
        <v/>
      </c>
      <c r="I190" s="83" t="str">
        <f>IF(OR(G190="", H190=""), "",
 INDEX(_RiskMatrix!$B$2:$D$4,
  MATCH(G190, _RiskMatrix!$A$2:$A$4, 0),
  MATCH(H190, _RiskMatrix!$B$1:$D$1, 0)
 ))</f>
        <v/>
      </c>
      <c r="J190" s="92" t="str">
        <f t="shared" si="2"/>
        <v/>
      </c>
    </row>
    <row r="191" spans="3:10">
      <c r="C191" s="89" t="str">
        <f>IFERROR(VLOOKUP(B191, 'Asset Register'!A:B, 2, FALSE), "")</f>
        <v/>
      </c>
      <c r="I191" s="83" t="str">
        <f>IF(OR(G191="", H191=""), "",
 INDEX(_RiskMatrix!$B$2:$D$4,
  MATCH(G191, _RiskMatrix!$A$2:$A$4, 0),
  MATCH(H191, _RiskMatrix!$B$1:$D$1, 0)
 ))</f>
        <v/>
      </c>
      <c r="J191" s="92" t="str">
        <f t="shared" si="2"/>
        <v/>
      </c>
    </row>
    <row r="192" spans="3:10">
      <c r="C192" s="89" t="str">
        <f>IFERROR(VLOOKUP(B192, 'Asset Register'!A:B, 2, FALSE), "")</f>
        <v/>
      </c>
      <c r="I192" s="83" t="str">
        <f>IF(OR(G192="", H192=""), "",
 INDEX(_RiskMatrix!$B$2:$D$4,
  MATCH(G192, _RiskMatrix!$A$2:$A$4, 0),
  MATCH(H192, _RiskMatrix!$B$1:$D$1, 0)
 ))</f>
        <v/>
      </c>
      <c r="J192" s="92" t="str">
        <f t="shared" si="2"/>
        <v/>
      </c>
    </row>
    <row r="193" spans="3:10">
      <c r="C193" s="89" t="str">
        <f>IFERROR(VLOOKUP(B193, 'Asset Register'!A:B, 2, FALSE), "")</f>
        <v/>
      </c>
      <c r="I193" s="83" t="str">
        <f>IF(OR(G193="", H193=""), "",
 INDEX(_RiskMatrix!$B$2:$D$4,
  MATCH(G193, _RiskMatrix!$A$2:$A$4, 0),
  MATCH(H193, _RiskMatrix!$B$1:$D$1, 0)
 ))</f>
        <v/>
      </c>
      <c r="J193" s="92" t="str">
        <f t="shared" si="2"/>
        <v/>
      </c>
    </row>
    <row r="194" spans="3:10">
      <c r="C194" s="89" t="str">
        <f>IFERROR(VLOOKUP(B194, 'Asset Register'!A:B, 2, FALSE), "")</f>
        <v/>
      </c>
      <c r="I194" s="83" t="str">
        <f>IF(OR(G194="", H194=""), "",
 INDEX(_RiskMatrix!$B$2:$D$4,
  MATCH(G194, _RiskMatrix!$A$2:$A$4, 0),
  MATCH(H194, _RiskMatrix!$B$1:$D$1, 0)
 ))</f>
        <v/>
      </c>
      <c r="J194" s="92" t="str">
        <f t="shared" si="2"/>
        <v/>
      </c>
    </row>
    <row r="195" spans="3:10">
      <c r="C195" s="89" t="str">
        <f>IFERROR(VLOOKUP(B195, 'Asset Register'!A:B, 2, FALSE), "")</f>
        <v/>
      </c>
      <c r="I195" s="83" t="str">
        <f>IF(OR(G195="", H195=""), "",
 INDEX(_RiskMatrix!$B$2:$D$4,
  MATCH(G195, _RiskMatrix!$A$2:$A$4, 0),
  MATCH(H195, _RiskMatrix!$B$1:$D$1, 0)
 ))</f>
        <v/>
      </c>
      <c r="J195" s="92" t="str">
        <f t="shared" ref="J195:J258" si="3">IF(I195="", "", I195)</f>
        <v/>
      </c>
    </row>
    <row r="196" spans="3:10">
      <c r="C196" s="89" t="str">
        <f>IFERROR(VLOOKUP(B196, 'Asset Register'!A:B, 2, FALSE), "")</f>
        <v/>
      </c>
      <c r="I196" s="83" t="str">
        <f>IF(OR(G196="", H196=""), "",
 INDEX(_RiskMatrix!$B$2:$D$4,
  MATCH(G196, _RiskMatrix!$A$2:$A$4, 0),
  MATCH(H196, _RiskMatrix!$B$1:$D$1, 0)
 ))</f>
        <v/>
      </c>
      <c r="J196" s="92" t="str">
        <f t="shared" si="3"/>
        <v/>
      </c>
    </row>
    <row r="197" spans="3:10">
      <c r="C197" s="89" t="str">
        <f>IFERROR(VLOOKUP(B197, 'Asset Register'!A:B, 2, FALSE), "")</f>
        <v/>
      </c>
      <c r="I197" s="83" t="str">
        <f>IF(OR(G197="", H197=""), "",
 INDEX(_RiskMatrix!$B$2:$D$4,
  MATCH(G197, _RiskMatrix!$A$2:$A$4, 0),
  MATCH(H197, _RiskMatrix!$B$1:$D$1, 0)
 ))</f>
        <v/>
      </c>
      <c r="J197" s="92" t="str">
        <f t="shared" si="3"/>
        <v/>
      </c>
    </row>
    <row r="198" spans="3:10">
      <c r="C198" s="89" t="str">
        <f>IFERROR(VLOOKUP(B198, 'Asset Register'!A:B, 2, FALSE), "")</f>
        <v/>
      </c>
      <c r="I198" s="83" t="str">
        <f>IF(OR(G198="", H198=""), "",
 INDEX(_RiskMatrix!$B$2:$D$4,
  MATCH(G198, _RiskMatrix!$A$2:$A$4, 0),
  MATCH(H198, _RiskMatrix!$B$1:$D$1, 0)
 ))</f>
        <v/>
      </c>
      <c r="J198" s="92" t="str">
        <f t="shared" si="3"/>
        <v/>
      </c>
    </row>
    <row r="199" spans="3:10">
      <c r="C199" s="89" t="str">
        <f>IFERROR(VLOOKUP(B199, 'Asset Register'!A:B, 2, FALSE), "")</f>
        <v/>
      </c>
      <c r="I199" s="83" t="str">
        <f>IF(OR(G199="", H199=""), "",
 INDEX(_RiskMatrix!$B$2:$D$4,
  MATCH(G199, _RiskMatrix!$A$2:$A$4, 0),
  MATCH(H199, _RiskMatrix!$B$1:$D$1, 0)
 ))</f>
        <v/>
      </c>
      <c r="J199" s="92" t="str">
        <f t="shared" si="3"/>
        <v/>
      </c>
    </row>
    <row r="200" spans="3:10">
      <c r="C200" s="89" t="str">
        <f>IFERROR(VLOOKUP(B200, 'Asset Register'!A:B, 2, FALSE), "")</f>
        <v/>
      </c>
      <c r="I200" s="83" t="str">
        <f>IF(OR(G200="", H200=""), "",
 INDEX(_RiskMatrix!$B$2:$D$4,
  MATCH(G200, _RiskMatrix!$A$2:$A$4, 0),
  MATCH(H200, _RiskMatrix!$B$1:$D$1, 0)
 ))</f>
        <v/>
      </c>
      <c r="J200" s="92" t="str">
        <f t="shared" si="3"/>
        <v/>
      </c>
    </row>
    <row r="201" spans="3:10">
      <c r="C201" s="89" t="str">
        <f>IFERROR(VLOOKUP(B201, 'Asset Register'!A:B, 2, FALSE), "")</f>
        <v/>
      </c>
      <c r="I201" s="83" t="str">
        <f>IF(OR(G201="", H201=""), "",
 INDEX(_RiskMatrix!$B$2:$D$4,
  MATCH(G201, _RiskMatrix!$A$2:$A$4, 0),
  MATCH(H201, _RiskMatrix!$B$1:$D$1, 0)
 ))</f>
        <v/>
      </c>
      <c r="J201" s="92" t="str">
        <f t="shared" si="3"/>
        <v/>
      </c>
    </row>
    <row r="202" spans="3:10">
      <c r="C202" s="89" t="str">
        <f>IFERROR(VLOOKUP(B202, 'Asset Register'!A:B, 2, FALSE), "")</f>
        <v/>
      </c>
      <c r="I202" s="83" t="str">
        <f>IF(OR(G202="", H202=""), "",
 INDEX(_RiskMatrix!$B$2:$D$4,
  MATCH(G202, _RiskMatrix!$A$2:$A$4, 0),
  MATCH(H202, _RiskMatrix!$B$1:$D$1, 0)
 ))</f>
        <v/>
      </c>
      <c r="J202" s="92" t="str">
        <f t="shared" si="3"/>
        <v/>
      </c>
    </row>
    <row r="203" spans="3:10">
      <c r="C203" s="89" t="str">
        <f>IFERROR(VLOOKUP(B203, 'Asset Register'!A:B, 2, FALSE), "")</f>
        <v/>
      </c>
      <c r="I203" s="83" t="str">
        <f>IF(OR(G203="", H203=""), "",
 INDEX(_RiskMatrix!$B$2:$D$4,
  MATCH(G203, _RiskMatrix!$A$2:$A$4, 0),
  MATCH(H203, _RiskMatrix!$B$1:$D$1, 0)
 ))</f>
        <v/>
      </c>
      <c r="J203" s="92" t="str">
        <f t="shared" si="3"/>
        <v/>
      </c>
    </row>
    <row r="204" spans="3:10">
      <c r="C204" s="89" t="str">
        <f>IFERROR(VLOOKUP(B204, 'Asset Register'!A:B, 2, FALSE), "")</f>
        <v/>
      </c>
      <c r="I204" s="83" t="str">
        <f>IF(OR(G204="", H204=""), "",
 INDEX(_RiskMatrix!$B$2:$D$4,
  MATCH(G204, _RiskMatrix!$A$2:$A$4, 0),
  MATCH(H204, _RiskMatrix!$B$1:$D$1, 0)
 ))</f>
        <v/>
      </c>
      <c r="J204" s="92" t="str">
        <f t="shared" si="3"/>
        <v/>
      </c>
    </row>
    <row r="205" spans="3:10">
      <c r="C205" s="89" t="str">
        <f>IFERROR(VLOOKUP(B205, 'Asset Register'!A:B, 2, FALSE), "")</f>
        <v/>
      </c>
      <c r="I205" s="83" t="str">
        <f>IF(OR(G205="", H205=""), "",
 INDEX(_RiskMatrix!$B$2:$D$4,
  MATCH(G205, _RiskMatrix!$A$2:$A$4, 0),
  MATCH(H205, _RiskMatrix!$B$1:$D$1, 0)
 ))</f>
        <v/>
      </c>
      <c r="J205" s="92" t="str">
        <f t="shared" si="3"/>
        <v/>
      </c>
    </row>
    <row r="206" spans="3:10">
      <c r="C206" s="89" t="str">
        <f>IFERROR(VLOOKUP(B206, 'Asset Register'!A:B, 2, FALSE), "")</f>
        <v/>
      </c>
      <c r="I206" s="83" t="str">
        <f>IF(OR(G206="", H206=""), "",
 INDEX(_RiskMatrix!$B$2:$D$4,
  MATCH(G206, _RiskMatrix!$A$2:$A$4, 0),
  MATCH(H206, _RiskMatrix!$B$1:$D$1, 0)
 ))</f>
        <v/>
      </c>
      <c r="J206" s="92" t="str">
        <f t="shared" si="3"/>
        <v/>
      </c>
    </row>
    <row r="207" spans="3:10">
      <c r="C207" s="89" t="str">
        <f>IFERROR(VLOOKUP(B207, 'Asset Register'!A:B, 2, FALSE), "")</f>
        <v/>
      </c>
      <c r="I207" s="83" t="str">
        <f>IF(OR(G207="", H207=""), "",
 INDEX(_RiskMatrix!$B$2:$D$4,
  MATCH(G207, _RiskMatrix!$A$2:$A$4, 0),
  MATCH(H207, _RiskMatrix!$B$1:$D$1, 0)
 ))</f>
        <v/>
      </c>
      <c r="J207" s="92" t="str">
        <f t="shared" si="3"/>
        <v/>
      </c>
    </row>
    <row r="208" spans="3:10">
      <c r="C208" s="89" t="str">
        <f>IFERROR(VLOOKUP(B208, 'Asset Register'!A:B, 2, FALSE), "")</f>
        <v/>
      </c>
      <c r="I208" s="83" t="str">
        <f>IF(OR(G208="", H208=""), "",
 INDEX(_RiskMatrix!$B$2:$D$4,
  MATCH(G208, _RiskMatrix!$A$2:$A$4, 0),
  MATCH(H208, _RiskMatrix!$B$1:$D$1, 0)
 ))</f>
        <v/>
      </c>
      <c r="J208" s="92" t="str">
        <f t="shared" si="3"/>
        <v/>
      </c>
    </row>
    <row r="209" spans="3:10">
      <c r="C209" s="89" t="str">
        <f>IFERROR(VLOOKUP(B209, 'Asset Register'!A:B, 2, FALSE), "")</f>
        <v/>
      </c>
      <c r="I209" s="83" t="str">
        <f>IF(OR(G209="", H209=""), "",
 INDEX(_RiskMatrix!$B$2:$D$4,
  MATCH(G209, _RiskMatrix!$A$2:$A$4, 0),
  MATCH(H209, _RiskMatrix!$B$1:$D$1, 0)
 ))</f>
        <v/>
      </c>
      <c r="J209" s="92" t="str">
        <f t="shared" si="3"/>
        <v/>
      </c>
    </row>
    <row r="210" spans="3:10">
      <c r="C210" s="89" t="str">
        <f>IFERROR(VLOOKUP(B210, 'Asset Register'!A:B, 2, FALSE), "")</f>
        <v/>
      </c>
      <c r="I210" s="83" t="str">
        <f>IF(OR(G210="", H210=""), "",
 INDEX(_RiskMatrix!$B$2:$D$4,
  MATCH(G210, _RiskMatrix!$A$2:$A$4, 0),
  MATCH(H210, _RiskMatrix!$B$1:$D$1, 0)
 ))</f>
        <v/>
      </c>
      <c r="J210" s="92" t="str">
        <f t="shared" si="3"/>
        <v/>
      </c>
    </row>
    <row r="211" spans="3:10">
      <c r="C211" s="89" t="str">
        <f>IFERROR(VLOOKUP(B211, 'Asset Register'!A:B, 2, FALSE), "")</f>
        <v/>
      </c>
      <c r="I211" s="83" t="str">
        <f>IF(OR(G211="", H211=""), "",
 INDEX(_RiskMatrix!$B$2:$D$4,
  MATCH(G211, _RiskMatrix!$A$2:$A$4, 0),
  MATCH(H211, _RiskMatrix!$B$1:$D$1, 0)
 ))</f>
        <v/>
      </c>
      <c r="J211" s="92" t="str">
        <f t="shared" si="3"/>
        <v/>
      </c>
    </row>
    <row r="212" spans="3:10">
      <c r="C212" s="89" t="str">
        <f>IFERROR(VLOOKUP(B212, 'Asset Register'!A:B, 2, FALSE), "")</f>
        <v/>
      </c>
      <c r="I212" s="83" t="str">
        <f>IF(OR(G212="", H212=""), "",
 INDEX(_RiskMatrix!$B$2:$D$4,
  MATCH(G212, _RiskMatrix!$A$2:$A$4, 0),
  MATCH(H212, _RiskMatrix!$B$1:$D$1, 0)
 ))</f>
        <v/>
      </c>
      <c r="J212" s="92" t="str">
        <f t="shared" si="3"/>
        <v/>
      </c>
    </row>
    <row r="213" spans="3:10">
      <c r="C213" s="89" t="str">
        <f>IFERROR(VLOOKUP(B213, 'Asset Register'!A:B, 2, FALSE), "")</f>
        <v/>
      </c>
      <c r="I213" s="83" t="str">
        <f>IF(OR(G213="", H213=""), "",
 INDEX(_RiskMatrix!$B$2:$D$4,
  MATCH(G213, _RiskMatrix!$A$2:$A$4, 0),
  MATCH(H213, _RiskMatrix!$B$1:$D$1, 0)
 ))</f>
        <v/>
      </c>
      <c r="J213" s="92" t="str">
        <f t="shared" si="3"/>
        <v/>
      </c>
    </row>
    <row r="214" spans="3:10">
      <c r="C214" s="89" t="str">
        <f>IFERROR(VLOOKUP(B214, 'Asset Register'!A:B, 2, FALSE), "")</f>
        <v/>
      </c>
      <c r="I214" s="83" t="str">
        <f>IF(OR(G214="", H214=""), "",
 INDEX(_RiskMatrix!$B$2:$D$4,
  MATCH(G214, _RiskMatrix!$A$2:$A$4, 0),
  MATCH(H214, _RiskMatrix!$B$1:$D$1, 0)
 ))</f>
        <v/>
      </c>
      <c r="J214" s="92" t="str">
        <f t="shared" si="3"/>
        <v/>
      </c>
    </row>
    <row r="215" spans="3:10">
      <c r="C215" s="89" t="str">
        <f>IFERROR(VLOOKUP(B215, 'Asset Register'!A:B, 2, FALSE), "")</f>
        <v/>
      </c>
      <c r="I215" s="83" t="str">
        <f>IF(OR(G215="", H215=""), "",
 INDEX(_RiskMatrix!$B$2:$D$4,
  MATCH(G215, _RiskMatrix!$A$2:$A$4, 0),
  MATCH(H215, _RiskMatrix!$B$1:$D$1, 0)
 ))</f>
        <v/>
      </c>
      <c r="J215" s="92" t="str">
        <f t="shared" si="3"/>
        <v/>
      </c>
    </row>
    <row r="216" spans="3:10">
      <c r="C216" s="89" t="str">
        <f>IFERROR(VLOOKUP(B216, 'Asset Register'!A:B, 2, FALSE), "")</f>
        <v/>
      </c>
      <c r="I216" s="83" t="str">
        <f>IF(OR(G216="", H216=""), "",
 INDEX(_RiskMatrix!$B$2:$D$4,
  MATCH(G216, _RiskMatrix!$A$2:$A$4, 0),
  MATCH(H216, _RiskMatrix!$B$1:$D$1, 0)
 ))</f>
        <v/>
      </c>
      <c r="J216" s="92" t="str">
        <f t="shared" si="3"/>
        <v/>
      </c>
    </row>
    <row r="217" spans="3:10">
      <c r="C217" s="89" t="str">
        <f>IFERROR(VLOOKUP(B217, 'Asset Register'!A:B, 2, FALSE), "")</f>
        <v/>
      </c>
      <c r="I217" s="83" t="str">
        <f>IF(OR(G217="", H217=""), "",
 INDEX(_RiskMatrix!$B$2:$D$4,
  MATCH(G217, _RiskMatrix!$A$2:$A$4, 0),
  MATCH(H217, _RiskMatrix!$B$1:$D$1, 0)
 ))</f>
        <v/>
      </c>
      <c r="J217" s="92" t="str">
        <f t="shared" si="3"/>
        <v/>
      </c>
    </row>
    <row r="218" spans="3:10">
      <c r="C218" s="89" t="str">
        <f>IFERROR(VLOOKUP(B218, 'Asset Register'!A:B, 2, FALSE), "")</f>
        <v/>
      </c>
      <c r="I218" s="83" t="str">
        <f>IF(OR(G218="", H218=""), "",
 INDEX(_RiskMatrix!$B$2:$D$4,
  MATCH(G218, _RiskMatrix!$A$2:$A$4, 0),
  MATCH(H218, _RiskMatrix!$B$1:$D$1, 0)
 ))</f>
        <v/>
      </c>
      <c r="J218" s="92" t="str">
        <f t="shared" si="3"/>
        <v/>
      </c>
    </row>
    <row r="219" spans="3:10">
      <c r="C219" s="89" t="str">
        <f>IFERROR(VLOOKUP(B219, 'Asset Register'!A:B, 2, FALSE), "")</f>
        <v/>
      </c>
      <c r="I219" s="83" t="str">
        <f>IF(OR(G219="", H219=""), "",
 INDEX(_RiskMatrix!$B$2:$D$4,
  MATCH(G219, _RiskMatrix!$A$2:$A$4, 0),
  MATCH(H219, _RiskMatrix!$B$1:$D$1, 0)
 ))</f>
        <v/>
      </c>
      <c r="J219" s="92" t="str">
        <f t="shared" si="3"/>
        <v/>
      </c>
    </row>
    <row r="220" spans="3:10">
      <c r="C220" s="89" t="str">
        <f>IFERROR(VLOOKUP(B220, 'Asset Register'!A:B, 2, FALSE), "")</f>
        <v/>
      </c>
      <c r="I220" s="83" t="str">
        <f>IF(OR(G220="", H220=""), "",
 INDEX(_RiskMatrix!$B$2:$D$4,
  MATCH(G220, _RiskMatrix!$A$2:$A$4, 0),
  MATCH(H220, _RiskMatrix!$B$1:$D$1, 0)
 ))</f>
        <v/>
      </c>
      <c r="J220" s="92" t="str">
        <f t="shared" si="3"/>
        <v/>
      </c>
    </row>
    <row r="221" spans="3:10">
      <c r="C221" s="89" t="str">
        <f>IFERROR(VLOOKUP(B221, 'Asset Register'!A:B, 2, FALSE), "")</f>
        <v/>
      </c>
      <c r="I221" s="83" t="str">
        <f>IF(OR(G221="", H221=""), "",
 INDEX(_RiskMatrix!$B$2:$D$4,
  MATCH(G221, _RiskMatrix!$A$2:$A$4, 0),
  MATCH(H221, _RiskMatrix!$B$1:$D$1, 0)
 ))</f>
        <v/>
      </c>
      <c r="J221" s="92" t="str">
        <f t="shared" si="3"/>
        <v/>
      </c>
    </row>
    <row r="222" spans="3:10">
      <c r="C222" s="89" t="str">
        <f>IFERROR(VLOOKUP(B222, 'Asset Register'!A:B, 2, FALSE), "")</f>
        <v/>
      </c>
      <c r="I222" s="83" t="str">
        <f>IF(OR(G222="", H222=""), "",
 INDEX(_RiskMatrix!$B$2:$D$4,
  MATCH(G222, _RiskMatrix!$A$2:$A$4, 0),
  MATCH(H222, _RiskMatrix!$B$1:$D$1, 0)
 ))</f>
        <v/>
      </c>
      <c r="J222" s="92" t="str">
        <f t="shared" si="3"/>
        <v/>
      </c>
    </row>
    <row r="223" spans="3:10">
      <c r="C223" s="89" t="str">
        <f>IFERROR(VLOOKUP(B223, 'Asset Register'!A:B, 2, FALSE), "")</f>
        <v/>
      </c>
      <c r="I223" s="83" t="str">
        <f>IF(OR(G223="", H223=""), "",
 INDEX(_RiskMatrix!$B$2:$D$4,
  MATCH(G223, _RiskMatrix!$A$2:$A$4, 0),
  MATCH(H223, _RiskMatrix!$B$1:$D$1, 0)
 ))</f>
        <v/>
      </c>
      <c r="J223" s="92" t="str">
        <f t="shared" si="3"/>
        <v/>
      </c>
    </row>
    <row r="224" spans="3:10">
      <c r="C224" s="89" t="str">
        <f>IFERROR(VLOOKUP(B224, 'Asset Register'!A:B, 2, FALSE), "")</f>
        <v/>
      </c>
      <c r="I224" s="83" t="str">
        <f>IF(OR(G224="", H224=""), "",
 INDEX(_RiskMatrix!$B$2:$D$4,
  MATCH(G224, _RiskMatrix!$A$2:$A$4, 0),
  MATCH(H224, _RiskMatrix!$B$1:$D$1, 0)
 ))</f>
        <v/>
      </c>
      <c r="J224" s="92" t="str">
        <f t="shared" si="3"/>
        <v/>
      </c>
    </row>
    <row r="225" spans="3:10">
      <c r="C225" s="89" t="str">
        <f>IFERROR(VLOOKUP(B225, 'Asset Register'!A:B, 2, FALSE), "")</f>
        <v/>
      </c>
      <c r="I225" s="83" t="str">
        <f>IF(OR(G225="", H225=""), "",
 INDEX(_RiskMatrix!$B$2:$D$4,
  MATCH(G225, _RiskMatrix!$A$2:$A$4, 0),
  MATCH(H225, _RiskMatrix!$B$1:$D$1, 0)
 ))</f>
        <v/>
      </c>
      <c r="J225" s="92" t="str">
        <f t="shared" si="3"/>
        <v/>
      </c>
    </row>
    <row r="226" spans="3:10">
      <c r="C226" s="89" t="str">
        <f>IFERROR(VLOOKUP(B226, 'Asset Register'!A:B, 2, FALSE), "")</f>
        <v/>
      </c>
      <c r="I226" s="83" t="str">
        <f>IF(OR(G226="", H226=""), "",
 INDEX(_RiskMatrix!$B$2:$D$4,
  MATCH(G226, _RiskMatrix!$A$2:$A$4, 0),
  MATCH(H226, _RiskMatrix!$B$1:$D$1, 0)
 ))</f>
        <v/>
      </c>
      <c r="J226" s="92" t="str">
        <f t="shared" si="3"/>
        <v/>
      </c>
    </row>
    <row r="227" spans="3:10">
      <c r="C227" s="89" t="str">
        <f>IFERROR(VLOOKUP(B227, 'Asset Register'!A:B, 2, FALSE), "")</f>
        <v/>
      </c>
      <c r="I227" s="83" t="str">
        <f>IF(OR(G227="", H227=""), "",
 INDEX(_RiskMatrix!$B$2:$D$4,
  MATCH(G227, _RiskMatrix!$A$2:$A$4, 0),
  MATCH(H227, _RiskMatrix!$B$1:$D$1, 0)
 ))</f>
        <v/>
      </c>
      <c r="J227" s="92" t="str">
        <f t="shared" si="3"/>
        <v/>
      </c>
    </row>
    <row r="228" spans="3:10">
      <c r="C228" s="89" t="str">
        <f>IFERROR(VLOOKUP(B228, 'Asset Register'!A:B, 2, FALSE), "")</f>
        <v/>
      </c>
      <c r="I228" s="83" t="str">
        <f>IF(OR(G228="", H228=""), "",
 INDEX(_RiskMatrix!$B$2:$D$4,
  MATCH(G228, _RiskMatrix!$A$2:$A$4, 0),
  MATCH(H228, _RiskMatrix!$B$1:$D$1, 0)
 ))</f>
        <v/>
      </c>
      <c r="J228" s="92" t="str">
        <f t="shared" si="3"/>
        <v/>
      </c>
    </row>
    <row r="229" spans="3:10">
      <c r="C229" s="89" t="str">
        <f>IFERROR(VLOOKUP(B229, 'Asset Register'!A:B, 2, FALSE), "")</f>
        <v/>
      </c>
      <c r="I229" s="83" t="str">
        <f>IF(OR(G229="", H229=""), "",
 INDEX(_RiskMatrix!$B$2:$D$4,
  MATCH(G229, _RiskMatrix!$A$2:$A$4, 0),
  MATCH(H229, _RiskMatrix!$B$1:$D$1, 0)
 ))</f>
        <v/>
      </c>
      <c r="J229" s="92" t="str">
        <f t="shared" si="3"/>
        <v/>
      </c>
    </row>
    <row r="230" spans="3:10">
      <c r="C230" s="89" t="str">
        <f>IFERROR(VLOOKUP(B230, 'Asset Register'!A:B, 2, FALSE), "")</f>
        <v/>
      </c>
      <c r="I230" s="83" t="str">
        <f>IF(OR(G230="", H230=""), "",
 INDEX(_RiskMatrix!$B$2:$D$4,
  MATCH(G230, _RiskMatrix!$A$2:$A$4, 0),
  MATCH(H230, _RiskMatrix!$B$1:$D$1, 0)
 ))</f>
        <v/>
      </c>
      <c r="J230" s="92" t="str">
        <f t="shared" si="3"/>
        <v/>
      </c>
    </row>
    <row r="231" spans="3:10">
      <c r="C231" s="89" t="str">
        <f>IFERROR(VLOOKUP(B231, 'Asset Register'!A:B, 2, FALSE), "")</f>
        <v/>
      </c>
      <c r="I231" s="83" t="str">
        <f>IF(OR(G231="", H231=""), "",
 INDEX(_RiskMatrix!$B$2:$D$4,
  MATCH(G231, _RiskMatrix!$A$2:$A$4, 0),
  MATCH(H231, _RiskMatrix!$B$1:$D$1, 0)
 ))</f>
        <v/>
      </c>
      <c r="J231" s="92" t="str">
        <f t="shared" si="3"/>
        <v/>
      </c>
    </row>
    <row r="232" spans="3:10">
      <c r="C232" s="89" t="str">
        <f>IFERROR(VLOOKUP(B232, 'Asset Register'!A:B, 2, FALSE), "")</f>
        <v/>
      </c>
      <c r="I232" s="83" t="str">
        <f>IF(OR(G232="", H232=""), "",
 INDEX(_RiskMatrix!$B$2:$D$4,
  MATCH(G232, _RiskMatrix!$A$2:$A$4, 0),
  MATCH(H232, _RiskMatrix!$B$1:$D$1, 0)
 ))</f>
        <v/>
      </c>
      <c r="J232" s="92" t="str">
        <f t="shared" si="3"/>
        <v/>
      </c>
    </row>
    <row r="233" spans="3:10">
      <c r="C233" s="89" t="str">
        <f>IFERROR(VLOOKUP(B233, 'Asset Register'!A:B, 2, FALSE), "")</f>
        <v/>
      </c>
      <c r="I233" s="83" t="str">
        <f>IF(OR(G233="", H233=""), "",
 INDEX(_RiskMatrix!$B$2:$D$4,
  MATCH(G233, _RiskMatrix!$A$2:$A$4, 0),
  MATCH(H233, _RiskMatrix!$B$1:$D$1, 0)
 ))</f>
        <v/>
      </c>
      <c r="J233" s="92" t="str">
        <f t="shared" si="3"/>
        <v/>
      </c>
    </row>
    <row r="234" spans="3:10">
      <c r="C234" s="89" t="str">
        <f>IFERROR(VLOOKUP(B234, 'Asset Register'!A:B, 2, FALSE), "")</f>
        <v/>
      </c>
      <c r="I234" s="83" t="str">
        <f>IF(OR(G234="", H234=""), "",
 INDEX(_RiskMatrix!$B$2:$D$4,
  MATCH(G234, _RiskMatrix!$A$2:$A$4, 0),
  MATCH(H234, _RiskMatrix!$B$1:$D$1, 0)
 ))</f>
        <v/>
      </c>
      <c r="J234" s="92" t="str">
        <f t="shared" si="3"/>
        <v/>
      </c>
    </row>
    <row r="235" spans="3:10">
      <c r="C235" s="89" t="str">
        <f>IFERROR(VLOOKUP(B235, 'Asset Register'!A:B, 2, FALSE), "")</f>
        <v/>
      </c>
      <c r="I235" s="83" t="str">
        <f>IF(OR(G235="", H235=""), "",
 INDEX(_RiskMatrix!$B$2:$D$4,
  MATCH(G235, _RiskMatrix!$A$2:$A$4, 0),
  MATCH(H235, _RiskMatrix!$B$1:$D$1, 0)
 ))</f>
        <v/>
      </c>
      <c r="J235" s="92" t="str">
        <f t="shared" si="3"/>
        <v/>
      </c>
    </row>
    <row r="236" spans="3:10">
      <c r="C236" s="89" t="str">
        <f>IFERROR(VLOOKUP(B236, 'Asset Register'!A:B, 2, FALSE), "")</f>
        <v/>
      </c>
      <c r="I236" s="83" t="str">
        <f>IF(OR(G236="", H236=""), "",
 INDEX(_RiskMatrix!$B$2:$D$4,
  MATCH(G236, _RiskMatrix!$A$2:$A$4, 0),
  MATCH(H236, _RiskMatrix!$B$1:$D$1, 0)
 ))</f>
        <v/>
      </c>
      <c r="J236" s="92" t="str">
        <f t="shared" si="3"/>
        <v/>
      </c>
    </row>
    <row r="237" spans="3:10">
      <c r="C237" s="89" t="str">
        <f>IFERROR(VLOOKUP(B237, 'Asset Register'!A:B, 2, FALSE), "")</f>
        <v/>
      </c>
      <c r="I237" s="83" t="str">
        <f>IF(OR(G237="", H237=""), "",
 INDEX(_RiskMatrix!$B$2:$D$4,
  MATCH(G237, _RiskMatrix!$A$2:$A$4, 0),
  MATCH(H237, _RiskMatrix!$B$1:$D$1, 0)
 ))</f>
        <v/>
      </c>
      <c r="J237" s="92" t="str">
        <f t="shared" si="3"/>
        <v/>
      </c>
    </row>
    <row r="238" spans="3:10">
      <c r="C238" s="89" t="str">
        <f>IFERROR(VLOOKUP(B238, 'Asset Register'!A:B, 2, FALSE), "")</f>
        <v/>
      </c>
      <c r="I238" s="83" t="str">
        <f>IF(OR(G238="", H238=""), "",
 INDEX(_RiskMatrix!$B$2:$D$4,
  MATCH(G238, _RiskMatrix!$A$2:$A$4, 0),
  MATCH(H238, _RiskMatrix!$B$1:$D$1, 0)
 ))</f>
        <v/>
      </c>
      <c r="J238" s="92" t="str">
        <f t="shared" si="3"/>
        <v/>
      </c>
    </row>
    <row r="239" spans="3:10">
      <c r="C239" s="89" t="str">
        <f>IFERROR(VLOOKUP(B239, 'Asset Register'!A:B, 2, FALSE), "")</f>
        <v/>
      </c>
      <c r="I239" s="83" t="str">
        <f>IF(OR(G239="", H239=""), "",
 INDEX(_RiskMatrix!$B$2:$D$4,
  MATCH(G239, _RiskMatrix!$A$2:$A$4, 0),
  MATCH(H239, _RiskMatrix!$B$1:$D$1, 0)
 ))</f>
        <v/>
      </c>
      <c r="J239" s="92" t="str">
        <f t="shared" si="3"/>
        <v/>
      </c>
    </row>
    <row r="240" spans="3:10">
      <c r="C240" s="89" t="str">
        <f>IFERROR(VLOOKUP(B240, 'Asset Register'!A:B, 2, FALSE), "")</f>
        <v/>
      </c>
      <c r="I240" s="83" t="str">
        <f>IF(OR(G240="", H240=""), "",
 INDEX(_RiskMatrix!$B$2:$D$4,
  MATCH(G240, _RiskMatrix!$A$2:$A$4, 0),
  MATCH(H240, _RiskMatrix!$B$1:$D$1, 0)
 ))</f>
        <v/>
      </c>
      <c r="J240" s="92" t="str">
        <f t="shared" si="3"/>
        <v/>
      </c>
    </row>
    <row r="241" spans="3:10">
      <c r="C241" s="89" t="str">
        <f>IFERROR(VLOOKUP(B241, 'Asset Register'!A:B, 2, FALSE), "")</f>
        <v/>
      </c>
      <c r="I241" s="83" t="str">
        <f>IF(OR(G241="", H241=""), "",
 INDEX(_RiskMatrix!$B$2:$D$4,
  MATCH(G241, _RiskMatrix!$A$2:$A$4, 0),
  MATCH(H241, _RiskMatrix!$B$1:$D$1, 0)
 ))</f>
        <v/>
      </c>
      <c r="J241" s="92" t="str">
        <f t="shared" si="3"/>
        <v/>
      </c>
    </row>
    <row r="242" spans="3:10">
      <c r="C242" s="89" t="str">
        <f>IFERROR(VLOOKUP(B242, 'Asset Register'!A:B, 2, FALSE), "")</f>
        <v/>
      </c>
      <c r="I242" s="83" t="str">
        <f>IF(OR(G242="", H242=""), "",
 INDEX(_RiskMatrix!$B$2:$D$4,
  MATCH(G242, _RiskMatrix!$A$2:$A$4, 0),
  MATCH(H242, _RiskMatrix!$B$1:$D$1, 0)
 ))</f>
        <v/>
      </c>
      <c r="J242" s="92" t="str">
        <f t="shared" si="3"/>
        <v/>
      </c>
    </row>
    <row r="243" spans="3:10">
      <c r="C243" s="89" t="str">
        <f>IFERROR(VLOOKUP(B243, 'Asset Register'!A:B, 2, FALSE), "")</f>
        <v/>
      </c>
      <c r="I243" s="83" t="str">
        <f>IF(OR(G243="", H243=""), "",
 INDEX(_RiskMatrix!$B$2:$D$4,
  MATCH(G243, _RiskMatrix!$A$2:$A$4, 0),
  MATCH(H243, _RiskMatrix!$B$1:$D$1, 0)
 ))</f>
        <v/>
      </c>
      <c r="J243" s="92" t="str">
        <f t="shared" si="3"/>
        <v/>
      </c>
    </row>
    <row r="244" spans="3:10">
      <c r="C244" s="89" t="str">
        <f>IFERROR(VLOOKUP(B244, 'Asset Register'!A:B, 2, FALSE), "")</f>
        <v/>
      </c>
      <c r="I244" s="83" t="str">
        <f>IF(OR(G244="", H244=""), "",
 INDEX(_RiskMatrix!$B$2:$D$4,
  MATCH(G244, _RiskMatrix!$A$2:$A$4, 0),
  MATCH(H244, _RiskMatrix!$B$1:$D$1, 0)
 ))</f>
        <v/>
      </c>
      <c r="J244" s="92" t="str">
        <f t="shared" si="3"/>
        <v/>
      </c>
    </row>
    <row r="245" spans="3:10">
      <c r="C245" s="89" t="str">
        <f>IFERROR(VLOOKUP(B245, 'Asset Register'!A:B, 2, FALSE), "")</f>
        <v/>
      </c>
      <c r="I245" s="83" t="str">
        <f>IF(OR(G245="", H245=""), "",
 INDEX(_RiskMatrix!$B$2:$D$4,
  MATCH(G245, _RiskMatrix!$A$2:$A$4, 0),
  MATCH(H245, _RiskMatrix!$B$1:$D$1, 0)
 ))</f>
        <v/>
      </c>
      <c r="J245" s="92" t="str">
        <f t="shared" si="3"/>
        <v/>
      </c>
    </row>
    <row r="246" spans="3:10">
      <c r="C246" s="89" t="str">
        <f>IFERROR(VLOOKUP(B246, 'Asset Register'!A:B, 2, FALSE), "")</f>
        <v/>
      </c>
      <c r="I246" s="83" t="str">
        <f>IF(OR(G246="", H246=""), "",
 INDEX(_RiskMatrix!$B$2:$D$4,
  MATCH(G246, _RiskMatrix!$A$2:$A$4, 0),
  MATCH(H246, _RiskMatrix!$B$1:$D$1, 0)
 ))</f>
        <v/>
      </c>
      <c r="J246" s="92" t="str">
        <f t="shared" si="3"/>
        <v/>
      </c>
    </row>
    <row r="247" spans="3:10">
      <c r="C247" s="89" t="str">
        <f>IFERROR(VLOOKUP(B247, 'Asset Register'!A:B, 2, FALSE), "")</f>
        <v/>
      </c>
      <c r="I247" s="83" t="str">
        <f>IF(OR(G247="", H247=""), "",
 INDEX(_RiskMatrix!$B$2:$D$4,
  MATCH(G247, _RiskMatrix!$A$2:$A$4, 0),
  MATCH(H247, _RiskMatrix!$B$1:$D$1, 0)
 ))</f>
        <v/>
      </c>
      <c r="J247" s="92" t="str">
        <f t="shared" si="3"/>
        <v/>
      </c>
    </row>
    <row r="248" spans="3:10">
      <c r="C248" s="89" t="str">
        <f>IFERROR(VLOOKUP(B248, 'Asset Register'!A:B, 2, FALSE), "")</f>
        <v/>
      </c>
      <c r="I248" s="83" t="str">
        <f>IF(OR(G248="", H248=""), "",
 INDEX(_RiskMatrix!$B$2:$D$4,
  MATCH(G248, _RiskMatrix!$A$2:$A$4, 0),
  MATCH(H248, _RiskMatrix!$B$1:$D$1, 0)
 ))</f>
        <v/>
      </c>
      <c r="J248" s="92" t="str">
        <f t="shared" si="3"/>
        <v/>
      </c>
    </row>
    <row r="249" spans="3:10">
      <c r="C249" s="89" t="str">
        <f>IFERROR(VLOOKUP(B249, 'Asset Register'!A:B, 2, FALSE), "")</f>
        <v/>
      </c>
      <c r="I249" s="83" t="str">
        <f>IF(OR(G249="", H249=""), "",
 INDEX(_RiskMatrix!$B$2:$D$4,
  MATCH(G249, _RiskMatrix!$A$2:$A$4, 0),
  MATCH(H249, _RiskMatrix!$B$1:$D$1, 0)
 ))</f>
        <v/>
      </c>
      <c r="J249" s="92" t="str">
        <f t="shared" si="3"/>
        <v/>
      </c>
    </row>
    <row r="250" spans="3:10">
      <c r="C250" s="89" t="str">
        <f>IFERROR(VLOOKUP(B250, 'Asset Register'!A:B, 2, FALSE), "")</f>
        <v/>
      </c>
      <c r="I250" s="83" t="str">
        <f>IF(OR(G250="", H250=""), "",
 INDEX(_RiskMatrix!$B$2:$D$4,
  MATCH(G250, _RiskMatrix!$A$2:$A$4, 0),
  MATCH(H250, _RiskMatrix!$B$1:$D$1, 0)
 ))</f>
        <v/>
      </c>
      <c r="J250" s="92" t="str">
        <f t="shared" si="3"/>
        <v/>
      </c>
    </row>
    <row r="251" spans="3:10">
      <c r="C251" s="89" t="str">
        <f>IFERROR(VLOOKUP(B251, 'Asset Register'!A:B, 2, FALSE), "")</f>
        <v/>
      </c>
      <c r="I251" s="83" t="str">
        <f>IF(OR(G251="", H251=""), "",
 INDEX(_RiskMatrix!$B$2:$D$4,
  MATCH(G251, _RiskMatrix!$A$2:$A$4, 0),
  MATCH(H251, _RiskMatrix!$B$1:$D$1, 0)
 ))</f>
        <v/>
      </c>
      <c r="J251" s="92" t="str">
        <f t="shared" si="3"/>
        <v/>
      </c>
    </row>
    <row r="252" spans="3:10">
      <c r="C252" s="89" t="str">
        <f>IFERROR(VLOOKUP(B252, 'Asset Register'!A:B, 2, FALSE), "")</f>
        <v/>
      </c>
      <c r="I252" s="83" t="str">
        <f>IF(OR(G252="", H252=""), "",
 INDEX(_RiskMatrix!$B$2:$D$4,
  MATCH(G252, _RiskMatrix!$A$2:$A$4, 0),
  MATCH(H252, _RiskMatrix!$B$1:$D$1, 0)
 ))</f>
        <v/>
      </c>
      <c r="J252" s="92" t="str">
        <f t="shared" si="3"/>
        <v/>
      </c>
    </row>
    <row r="253" spans="3:10">
      <c r="C253" s="89" t="str">
        <f>IFERROR(VLOOKUP(B253, 'Asset Register'!A:B, 2, FALSE), "")</f>
        <v/>
      </c>
      <c r="I253" s="83" t="str">
        <f>IF(OR(G253="", H253=""), "",
 INDEX(_RiskMatrix!$B$2:$D$4,
  MATCH(G253, _RiskMatrix!$A$2:$A$4, 0),
  MATCH(H253, _RiskMatrix!$B$1:$D$1, 0)
 ))</f>
        <v/>
      </c>
      <c r="J253" s="92" t="str">
        <f t="shared" si="3"/>
        <v/>
      </c>
    </row>
    <row r="254" spans="3:10">
      <c r="C254" s="89" t="str">
        <f>IFERROR(VLOOKUP(B254, 'Asset Register'!A:B, 2, FALSE), "")</f>
        <v/>
      </c>
      <c r="I254" s="83" t="str">
        <f>IF(OR(G254="", H254=""), "",
 INDEX(_RiskMatrix!$B$2:$D$4,
  MATCH(G254, _RiskMatrix!$A$2:$A$4, 0),
  MATCH(H254, _RiskMatrix!$B$1:$D$1, 0)
 ))</f>
        <v/>
      </c>
      <c r="J254" s="92" t="str">
        <f t="shared" si="3"/>
        <v/>
      </c>
    </row>
    <row r="255" spans="3:10">
      <c r="C255" s="89" t="str">
        <f>IFERROR(VLOOKUP(B255, 'Asset Register'!A:B, 2, FALSE), "")</f>
        <v/>
      </c>
      <c r="I255" s="83" t="str">
        <f>IF(OR(G255="", H255=""), "",
 INDEX(_RiskMatrix!$B$2:$D$4,
  MATCH(G255, _RiskMatrix!$A$2:$A$4, 0),
  MATCH(H255, _RiskMatrix!$B$1:$D$1, 0)
 ))</f>
        <v/>
      </c>
      <c r="J255" s="92" t="str">
        <f t="shared" si="3"/>
        <v/>
      </c>
    </row>
    <row r="256" spans="3:10">
      <c r="C256" s="89" t="str">
        <f>IFERROR(VLOOKUP(B256, 'Asset Register'!A:B, 2, FALSE), "")</f>
        <v/>
      </c>
      <c r="I256" s="83" t="str">
        <f>IF(OR(G256="", H256=""), "",
 INDEX(_RiskMatrix!$B$2:$D$4,
  MATCH(G256, _RiskMatrix!$A$2:$A$4, 0),
  MATCH(H256, _RiskMatrix!$B$1:$D$1, 0)
 ))</f>
        <v/>
      </c>
      <c r="J256" s="92" t="str">
        <f t="shared" si="3"/>
        <v/>
      </c>
    </row>
    <row r="257" spans="3:10">
      <c r="C257" s="89" t="str">
        <f>IFERROR(VLOOKUP(B257, 'Asset Register'!A:B, 2, FALSE), "")</f>
        <v/>
      </c>
      <c r="I257" s="83" t="str">
        <f>IF(OR(G257="", H257=""), "",
 INDEX(_RiskMatrix!$B$2:$D$4,
  MATCH(G257, _RiskMatrix!$A$2:$A$4, 0),
  MATCH(H257, _RiskMatrix!$B$1:$D$1, 0)
 ))</f>
        <v/>
      </c>
      <c r="J257" s="92" t="str">
        <f t="shared" si="3"/>
        <v/>
      </c>
    </row>
    <row r="258" spans="3:10">
      <c r="C258" s="89" t="str">
        <f>IFERROR(VLOOKUP(B258, 'Asset Register'!A:B, 2, FALSE), "")</f>
        <v/>
      </c>
      <c r="I258" s="83" t="str">
        <f>IF(OR(G258="", H258=""), "",
 INDEX(_RiskMatrix!$B$2:$D$4,
  MATCH(G258, _RiskMatrix!$A$2:$A$4, 0),
  MATCH(H258, _RiskMatrix!$B$1:$D$1, 0)
 ))</f>
        <v/>
      </c>
      <c r="J258" s="92" t="str">
        <f t="shared" si="3"/>
        <v/>
      </c>
    </row>
    <row r="259" spans="3:10">
      <c r="C259" s="89" t="str">
        <f>IFERROR(VLOOKUP(B259, 'Asset Register'!A:B, 2, FALSE), "")</f>
        <v/>
      </c>
      <c r="I259" s="83" t="str">
        <f>IF(OR(G259="", H259=""), "",
 INDEX(_RiskMatrix!$B$2:$D$4,
  MATCH(G259, _RiskMatrix!$A$2:$A$4, 0),
  MATCH(H259, _RiskMatrix!$B$1:$D$1, 0)
 ))</f>
        <v/>
      </c>
      <c r="J259" s="92" t="str">
        <f t="shared" ref="J259:J301" si="4">IF(I259="", "", I259)</f>
        <v/>
      </c>
    </row>
    <row r="260" spans="3:10">
      <c r="C260" s="89" t="str">
        <f>IFERROR(VLOOKUP(B260, 'Asset Register'!A:B, 2, FALSE), "")</f>
        <v/>
      </c>
      <c r="I260" s="83" t="str">
        <f>IF(OR(G260="", H260=""), "",
 INDEX(_RiskMatrix!$B$2:$D$4,
  MATCH(G260, _RiskMatrix!$A$2:$A$4, 0),
  MATCH(H260, _RiskMatrix!$B$1:$D$1, 0)
 ))</f>
        <v/>
      </c>
      <c r="J260" s="92" t="str">
        <f t="shared" si="4"/>
        <v/>
      </c>
    </row>
    <row r="261" spans="3:10">
      <c r="C261" s="89" t="str">
        <f>IFERROR(VLOOKUP(B261, 'Asset Register'!A:B, 2, FALSE), "")</f>
        <v/>
      </c>
      <c r="I261" s="83" t="str">
        <f>IF(OR(G261="", H261=""), "",
 INDEX(_RiskMatrix!$B$2:$D$4,
  MATCH(G261, _RiskMatrix!$A$2:$A$4, 0),
  MATCH(H261, _RiskMatrix!$B$1:$D$1, 0)
 ))</f>
        <v/>
      </c>
      <c r="J261" s="92" t="str">
        <f t="shared" si="4"/>
        <v/>
      </c>
    </row>
    <row r="262" spans="3:10">
      <c r="C262" s="89" t="str">
        <f>IFERROR(VLOOKUP(B262, 'Asset Register'!A:B, 2, FALSE), "")</f>
        <v/>
      </c>
      <c r="I262" s="83" t="str">
        <f>IF(OR(G262="", H262=""), "",
 INDEX(_RiskMatrix!$B$2:$D$4,
  MATCH(G262, _RiskMatrix!$A$2:$A$4, 0),
  MATCH(H262, _RiskMatrix!$B$1:$D$1, 0)
 ))</f>
        <v/>
      </c>
      <c r="J262" s="92" t="str">
        <f t="shared" si="4"/>
        <v/>
      </c>
    </row>
    <row r="263" spans="3:10">
      <c r="C263" s="89" t="str">
        <f>IFERROR(VLOOKUP(B263, 'Asset Register'!A:B, 2, FALSE), "")</f>
        <v/>
      </c>
      <c r="I263" s="83" t="str">
        <f>IF(OR(G263="", H263=""), "",
 INDEX(_RiskMatrix!$B$2:$D$4,
  MATCH(G263, _RiskMatrix!$A$2:$A$4, 0),
  MATCH(H263, _RiskMatrix!$B$1:$D$1, 0)
 ))</f>
        <v/>
      </c>
      <c r="J263" s="92" t="str">
        <f t="shared" si="4"/>
        <v/>
      </c>
    </row>
    <row r="264" spans="3:10">
      <c r="C264" s="89" t="str">
        <f>IFERROR(VLOOKUP(B264, 'Asset Register'!A:B, 2, FALSE), "")</f>
        <v/>
      </c>
      <c r="I264" s="83" t="str">
        <f>IF(OR(G264="", H264=""), "",
 INDEX(_RiskMatrix!$B$2:$D$4,
  MATCH(G264, _RiskMatrix!$A$2:$A$4, 0),
  MATCH(H264, _RiskMatrix!$B$1:$D$1, 0)
 ))</f>
        <v/>
      </c>
      <c r="J264" s="92" t="str">
        <f t="shared" si="4"/>
        <v/>
      </c>
    </row>
    <row r="265" spans="3:10">
      <c r="C265" s="89" t="str">
        <f>IFERROR(VLOOKUP(B265, 'Asset Register'!A:B, 2, FALSE), "")</f>
        <v/>
      </c>
      <c r="I265" s="83" t="str">
        <f>IF(OR(G265="", H265=""), "",
 INDEX(_RiskMatrix!$B$2:$D$4,
  MATCH(G265, _RiskMatrix!$A$2:$A$4, 0),
  MATCH(H265, _RiskMatrix!$B$1:$D$1, 0)
 ))</f>
        <v/>
      </c>
      <c r="J265" s="92" t="str">
        <f t="shared" si="4"/>
        <v/>
      </c>
    </row>
    <row r="266" spans="3:10">
      <c r="C266" s="89" t="str">
        <f>IFERROR(VLOOKUP(B266, 'Asset Register'!A:B, 2, FALSE), "")</f>
        <v/>
      </c>
      <c r="I266" s="83" t="str">
        <f>IF(OR(G266="", H266=""), "",
 INDEX(_RiskMatrix!$B$2:$D$4,
  MATCH(G266, _RiskMatrix!$A$2:$A$4, 0),
  MATCH(H266, _RiskMatrix!$B$1:$D$1, 0)
 ))</f>
        <v/>
      </c>
      <c r="J266" s="92" t="str">
        <f t="shared" si="4"/>
        <v/>
      </c>
    </row>
    <row r="267" spans="3:10">
      <c r="C267" s="89" t="str">
        <f>IFERROR(VLOOKUP(B267, 'Asset Register'!A:B, 2, FALSE), "")</f>
        <v/>
      </c>
      <c r="I267" s="83" t="str">
        <f>IF(OR(G267="", H267=""), "",
 INDEX(_RiskMatrix!$B$2:$D$4,
  MATCH(G267, _RiskMatrix!$A$2:$A$4, 0),
  MATCH(H267, _RiskMatrix!$B$1:$D$1, 0)
 ))</f>
        <v/>
      </c>
      <c r="J267" s="92" t="str">
        <f t="shared" si="4"/>
        <v/>
      </c>
    </row>
    <row r="268" spans="3:10">
      <c r="C268" s="89" t="str">
        <f>IFERROR(VLOOKUP(B268, 'Asset Register'!A:B, 2, FALSE), "")</f>
        <v/>
      </c>
      <c r="I268" s="83" t="str">
        <f>IF(OR(G268="", H268=""), "",
 INDEX(_RiskMatrix!$B$2:$D$4,
  MATCH(G268, _RiskMatrix!$A$2:$A$4, 0),
  MATCH(H268, _RiskMatrix!$B$1:$D$1, 0)
 ))</f>
        <v/>
      </c>
      <c r="J268" s="92" t="str">
        <f t="shared" si="4"/>
        <v/>
      </c>
    </row>
    <row r="269" spans="3:10">
      <c r="C269" s="89" t="str">
        <f>IFERROR(VLOOKUP(B269, 'Asset Register'!A:B, 2, FALSE), "")</f>
        <v/>
      </c>
      <c r="I269" s="83" t="str">
        <f>IF(OR(G269="", H269=""), "",
 INDEX(_RiskMatrix!$B$2:$D$4,
  MATCH(G269, _RiskMatrix!$A$2:$A$4, 0),
  MATCH(H269, _RiskMatrix!$B$1:$D$1, 0)
 ))</f>
        <v/>
      </c>
      <c r="J269" s="92" t="str">
        <f t="shared" si="4"/>
        <v/>
      </c>
    </row>
    <row r="270" spans="3:10">
      <c r="C270" s="89" t="str">
        <f>IFERROR(VLOOKUP(B270, 'Asset Register'!A:B, 2, FALSE), "")</f>
        <v/>
      </c>
      <c r="I270" s="83" t="str">
        <f>IF(OR(G270="", H270=""), "",
 INDEX(_RiskMatrix!$B$2:$D$4,
  MATCH(G270, _RiskMatrix!$A$2:$A$4, 0),
  MATCH(H270, _RiskMatrix!$B$1:$D$1, 0)
 ))</f>
        <v/>
      </c>
      <c r="J270" s="92" t="str">
        <f t="shared" si="4"/>
        <v/>
      </c>
    </row>
    <row r="271" spans="3:10">
      <c r="C271" s="89" t="str">
        <f>IFERROR(VLOOKUP(B271, 'Asset Register'!A:B, 2, FALSE), "")</f>
        <v/>
      </c>
      <c r="I271" s="83" t="str">
        <f>IF(OR(G271="", H271=""), "",
 INDEX(_RiskMatrix!$B$2:$D$4,
  MATCH(G271, _RiskMatrix!$A$2:$A$4, 0),
  MATCH(H271, _RiskMatrix!$B$1:$D$1, 0)
 ))</f>
        <v/>
      </c>
      <c r="J271" s="92" t="str">
        <f t="shared" si="4"/>
        <v/>
      </c>
    </row>
    <row r="272" spans="3:10">
      <c r="C272" s="89" t="str">
        <f>IFERROR(VLOOKUP(B272, 'Asset Register'!A:B, 2, FALSE), "")</f>
        <v/>
      </c>
      <c r="I272" s="83" t="str">
        <f>IF(OR(G272="", H272=""), "",
 INDEX(_RiskMatrix!$B$2:$D$4,
  MATCH(G272, _RiskMatrix!$A$2:$A$4, 0),
  MATCH(H272, _RiskMatrix!$B$1:$D$1, 0)
 ))</f>
        <v/>
      </c>
      <c r="J272" s="92" t="str">
        <f t="shared" si="4"/>
        <v/>
      </c>
    </row>
    <row r="273" spans="3:10">
      <c r="C273" s="89" t="str">
        <f>IFERROR(VLOOKUP(B273, 'Asset Register'!A:B, 2, FALSE), "")</f>
        <v/>
      </c>
      <c r="I273" s="83" t="str">
        <f>IF(OR(G273="", H273=""), "",
 INDEX(_RiskMatrix!$B$2:$D$4,
  MATCH(G273, _RiskMatrix!$A$2:$A$4, 0),
  MATCH(H273, _RiskMatrix!$B$1:$D$1, 0)
 ))</f>
        <v/>
      </c>
      <c r="J273" s="92" t="str">
        <f t="shared" si="4"/>
        <v/>
      </c>
    </row>
    <row r="274" spans="3:10">
      <c r="C274" s="89" t="str">
        <f>IFERROR(VLOOKUP(B274, 'Asset Register'!A:B, 2, FALSE), "")</f>
        <v/>
      </c>
      <c r="I274" s="83" t="str">
        <f>IF(OR(G274="", H274=""), "",
 INDEX(_RiskMatrix!$B$2:$D$4,
  MATCH(G274, _RiskMatrix!$A$2:$A$4, 0),
  MATCH(H274, _RiskMatrix!$B$1:$D$1, 0)
 ))</f>
        <v/>
      </c>
      <c r="J274" s="92" t="str">
        <f t="shared" si="4"/>
        <v/>
      </c>
    </row>
    <row r="275" spans="3:10">
      <c r="C275" s="89" t="str">
        <f>IFERROR(VLOOKUP(B275, 'Asset Register'!A:B, 2, FALSE), "")</f>
        <v/>
      </c>
      <c r="I275" s="83" t="str">
        <f>IF(OR(G275="", H275=""), "",
 INDEX(_RiskMatrix!$B$2:$D$4,
  MATCH(G275, _RiskMatrix!$A$2:$A$4, 0),
  MATCH(H275, _RiskMatrix!$B$1:$D$1, 0)
 ))</f>
        <v/>
      </c>
      <c r="J275" s="92" t="str">
        <f t="shared" si="4"/>
        <v/>
      </c>
    </row>
    <row r="276" spans="3:10">
      <c r="C276" s="89" t="str">
        <f>IFERROR(VLOOKUP(B276, 'Asset Register'!A:B, 2, FALSE), "")</f>
        <v/>
      </c>
      <c r="I276" s="83" t="str">
        <f>IF(OR(G276="", H276=""), "",
 INDEX(_RiskMatrix!$B$2:$D$4,
  MATCH(G276, _RiskMatrix!$A$2:$A$4, 0),
  MATCH(H276, _RiskMatrix!$B$1:$D$1, 0)
 ))</f>
        <v/>
      </c>
      <c r="J276" s="92" t="str">
        <f t="shared" si="4"/>
        <v/>
      </c>
    </row>
    <row r="277" spans="3:10">
      <c r="C277" s="89" t="str">
        <f>IFERROR(VLOOKUP(B277, 'Asset Register'!A:B, 2, FALSE), "")</f>
        <v/>
      </c>
      <c r="I277" s="83" t="str">
        <f>IF(OR(G277="", H277=""), "",
 INDEX(_RiskMatrix!$B$2:$D$4,
  MATCH(G277, _RiskMatrix!$A$2:$A$4, 0),
  MATCH(H277, _RiskMatrix!$B$1:$D$1, 0)
 ))</f>
        <v/>
      </c>
      <c r="J277" s="92" t="str">
        <f t="shared" si="4"/>
        <v/>
      </c>
    </row>
    <row r="278" spans="3:10">
      <c r="C278" s="89" t="str">
        <f>IFERROR(VLOOKUP(B278, 'Asset Register'!A:B, 2, FALSE), "")</f>
        <v/>
      </c>
      <c r="I278" s="83" t="str">
        <f>IF(OR(G278="", H278=""), "",
 INDEX(_RiskMatrix!$B$2:$D$4,
  MATCH(G278, _RiskMatrix!$A$2:$A$4, 0),
  MATCH(H278, _RiskMatrix!$B$1:$D$1, 0)
 ))</f>
        <v/>
      </c>
      <c r="J278" s="92" t="str">
        <f t="shared" si="4"/>
        <v/>
      </c>
    </row>
    <row r="279" spans="3:10">
      <c r="C279" s="89" t="str">
        <f>IFERROR(VLOOKUP(B279, 'Asset Register'!A:B, 2, FALSE), "")</f>
        <v/>
      </c>
      <c r="I279" s="83" t="str">
        <f>IF(OR(G279="", H279=""), "",
 INDEX(_RiskMatrix!$B$2:$D$4,
  MATCH(G279, _RiskMatrix!$A$2:$A$4, 0),
  MATCH(H279, _RiskMatrix!$B$1:$D$1, 0)
 ))</f>
        <v/>
      </c>
      <c r="J279" s="92" t="str">
        <f t="shared" si="4"/>
        <v/>
      </c>
    </row>
    <row r="280" spans="3:10">
      <c r="C280" s="89" t="str">
        <f>IFERROR(VLOOKUP(B280, 'Asset Register'!A:B, 2, FALSE), "")</f>
        <v/>
      </c>
      <c r="I280" s="83" t="str">
        <f>IF(OR(G280="", H280=""), "",
 INDEX(_RiskMatrix!$B$2:$D$4,
  MATCH(G280, _RiskMatrix!$A$2:$A$4, 0),
  MATCH(H280, _RiskMatrix!$B$1:$D$1, 0)
 ))</f>
        <v/>
      </c>
      <c r="J280" s="92" t="str">
        <f t="shared" si="4"/>
        <v/>
      </c>
    </row>
    <row r="281" spans="3:10">
      <c r="C281" s="89" t="str">
        <f>IFERROR(VLOOKUP(B281, 'Asset Register'!A:B, 2, FALSE), "")</f>
        <v/>
      </c>
      <c r="I281" s="83" t="str">
        <f>IF(OR(G281="", H281=""), "",
 INDEX(_RiskMatrix!$B$2:$D$4,
  MATCH(G281, _RiskMatrix!$A$2:$A$4, 0),
  MATCH(H281, _RiskMatrix!$B$1:$D$1, 0)
 ))</f>
        <v/>
      </c>
      <c r="J281" s="92" t="str">
        <f t="shared" si="4"/>
        <v/>
      </c>
    </row>
    <row r="282" spans="3:10">
      <c r="C282" s="89" t="str">
        <f>IFERROR(VLOOKUP(B282, 'Asset Register'!A:B, 2, FALSE), "")</f>
        <v/>
      </c>
      <c r="I282" s="83" t="str">
        <f>IF(OR(G282="", H282=""), "",
 INDEX(_RiskMatrix!$B$2:$D$4,
  MATCH(G282, _RiskMatrix!$A$2:$A$4, 0),
  MATCH(H282, _RiskMatrix!$B$1:$D$1, 0)
 ))</f>
        <v/>
      </c>
      <c r="J282" s="92" t="str">
        <f t="shared" si="4"/>
        <v/>
      </c>
    </row>
    <row r="283" spans="3:10">
      <c r="C283" s="89" t="str">
        <f>IFERROR(VLOOKUP(B283, 'Asset Register'!A:B, 2, FALSE), "")</f>
        <v/>
      </c>
      <c r="I283" s="83" t="str">
        <f>IF(OR(G283="", H283=""), "",
 INDEX(_RiskMatrix!$B$2:$D$4,
  MATCH(G283, _RiskMatrix!$A$2:$A$4, 0),
  MATCH(H283, _RiskMatrix!$B$1:$D$1, 0)
 ))</f>
        <v/>
      </c>
      <c r="J283" s="92" t="str">
        <f t="shared" si="4"/>
        <v/>
      </c>
    </row>
    <row r="284" spans="3:10">
      <c r="C284" s="89" t="str">
        <f>IFERROR(VLOOKUP(B284, 'Asset Register'!A:B, 2, FALSE), "")</f>
        <v/>
      </c>
      <c r="I284" s="83" t="str">
        <f>IF(OR(G284="", H284=""), "",
 INDEX(_RiskMatrix!$B$2:$D$4,
  MATCH(G284, _RiskMatrix!$A$2:$A$4, 0),
  MATCH(H284, _RiskMatrix!$B$1:$D$1, 0)
 ))</f>
        <v/>
      </c>
      <c r="J284" s="92" t="str">
        <f t="shared" si="4"/>
        <v/>
      </c>
    </row>
    <row r="285" spans="3:10">
      <c r="C285" s="89" t="str">
        <f>IFERROR(VLOOKUP(B285, 'Asset Register'!A:B, 2, FALSE), "")</f>
        <v/>
      </c>
      <c r="I285" s="83" t="str">
        <f>IF(OR(G285="", H285=""), "",
 INDEX(_RiskMatrix!$B$2:$D$4,
  MATCH(G285, _RiskMatrix!$A$2:$A$4, 0),
  MATCH(H285, _RiskMatrix!$B$1:$D$1, 0)
 ))</f>
        <v/>
      </c>
      <c r="J285" s="92" t="str">
        <f t="shared" si="4"/>
        <v/>
      </c>
    </row>
    <row r="286" spans="3:10">
      <c r="C286" s="89" t="str">
        <f>IFERROR(VLOOKUP(B286, 'Asset Register'!A:B, 2, FALSE), "")</f>
        <v/>
      </c>
      <c r="I286" s="83" t="str">
        <f>IF(OR(G286="", H286=""), "",
 INDEX(_RiskMatrix!$B$2:$D$4,
  MATCH(G286, _RiskMatrix!$A$2:$A$4, 0),
  MATCH(H286, _RiskMatrix!$B$1:$D$1, 0)
 ))</f>
        <v/>
      </c>
      <c r="J286" s="92" t="str">
        <f t="shared" si="4"/>
        <v/>
      </c>
    </row>
    <row r="287" spans="3:10">
      <c r="C287" s="89" t="str">
        <f>IFERROR(VLOOKUP(B287, 'Asset Register'!A:B, 2, FALSE), "")</f>
        <v/>
      </c>
      <c r="I287" s="83" t="str">
        <f>IF(OR(G287="", H287=""), "",
 INDEX(_RiskMatrix!$B$2:$D$4,
  MATCH(G287, _RiskMatrix!$A$2:$A$4, 0),
  MATCH(H287, _RiskMatrix!$B$1:$D$1, 0)
 ))</f>
        <v/>
      </c>
      <c r="J287" s="92" t="str">
        <f t="shared" si="4"/>
        <v/>
      </c>
    </row>
    <row r="288" spans="3:10">
      <c r="C288" s="89" t="str">
        <f>IFERROR(VLOOKUP(B288, 'Asset Register'!A:B, 2, FALSE), "")</f>
        <v/>
      </c>
      <c r="I288" s="83" t="str">
        <f>IF(OR(G288="", H288=""), "",
 INDEX(_RiskMatrix!$B$2:$D$4,
  MATCH(G288, _RiskMatrix!$A$2:$A$4, 0),
  MATCH(H288, _RiskMatrix!$B$1:$D$1, 0)
 ))</f>
        <v/>
      </c>
      <c r="J288" s="92" t="str">
        <f t="shared" si="4"/>
        <v/>
      </c>
    </row>
    <row r="289" spans="3:10">
      <c r="C289" s="89" t="str">
        <f>IFERROR(VLOOKUP(B289, 'Asset Register'!A:B, 2, FALSE), "")</f>
        <v/>
      </c>
      <c r="I289" s="83" t="str">
        <f>IF(OR(G289="", H289=""), "",
 INDEX(_RiskMatrix!$B$2:$D$4,
  MATCH(G289, _RiskMatrix!$A$2:$A$4, 0),
  MATCH(H289, _RiskMatrix!$B$1:$D$1, 0)
 ))</f>
        <v/>
      </c>
      <c r="J289" s="92" t="str">
        <f t="shared" si="4"/>
        <v/>
      </c>
    </row>
    <row r="290" spans="3:10">
      <c r="C290" s="89" t="str">
        <f>IFERROR(VLOOKUP(B290, 'Asset Register'!A:B, 2, FALSE), "")</f>
        <v/>
      </c>
      <c r="I290" s="83" t="str">
        <f>IF(OR(G290="", H290=""), "",
 INDEX(_RiskMatrix!$B$2:$D$4,
  MATCH(G290, _RiskMatrix!$A$2:$A$4, 0),
  MATCH(H290, _RiskMatrix!$B$1:$D$1, 0)
 ))</f>
        <v/>
      </c>
      <c r="J290" s="92" t="str">
        <f t="shared" si="4"/>
        <v/>
      </c>
    </row>
    <row r="291" spans="3:10">
      <c r="C291" s="89" t="str">
        <f>IFERROR(VLOOKUP(B291, 'Asset Register'!A:B, 2, FALSE), "")</f>
        <v/>
      </c>
      <c r="I291" s="83" t="str">
        <f>IF(OR(G291="", H291=""), "",
 INDEX(_RiskMatrix!$B$2:$D$4,
  MATCH(G291, _RiskMatrix!$A$2:$A$4, 0),
  MATCH(H291, _RiskMatrix!$B$1:$D$1, 0)
 ))</f>
        <v/>
      </c>
      <c r="J291" s="92" t="str">
        <f t="shared" si="4"/>
        <v/>
      </c>
    </row>
    <row r="292" spans="3:10">
      <c r="C292" s="89" t="str">
        <f>IFERROR(VLOOKUP(B292, 'Asset Register'!A:B, 2, FALSE), "")</f>
        <v/>
      </c>
      <c r="I292" s="83" t="str">
        <f>IF(OR(G292="", H292=""), "",
 INDEX(_RiskMatrix!$B$2:$D$4,
  MATCH(G292, _RiskMatrix!$A$2:$A$4, 0),
  MATCH(H292, _RiskMatrix!$B$1:$D$1, 0)
 ))</f>
        <v/>
      </c>
      <c r="J292" s="92" t="str">
        <f t="shared" si="4"/>
        <v/>
      </c>
    </row>
    <row r="293" spans="3:10">
      <c r="C293" s="89" t="str">
        <f>IFERROR(VLOOKUP(B293, 'Asset Register'!A:B, 2, FALSE), "")</f>
        <v/>
      </c>
      <c r="I293" s="83" t="str">
        <f>IF(OR(G293="", H293=""), "",
 INDEX(_RiskMatrix!$B$2:$D$4,
  MATCH(G293, _RiskMatrix!$A$2:$A$4, 0),
  MATCH(H293, _RiskMatrix!$B$1:$D$1, 0)
 ))</f>
        <v/>
      </c>
      <c r="J293" s="92" t="str">
        <f t="shared" si="4"/>
        <v/>
      </c>
    </row>
    <row r="294" spans="3:10">
      <c r="C294" s="89" t="str">
        <f>IFERROR(VLOOKUP(B294, 'Asset Register'!A:B, 2, FALSE), "")</f>
        <v/>
      </c>
      <c r="I294" s="83" t="str">
        <f>IF(OR(G294="", H294=""), "",
 INDEX(_RiskMatrix!$B$2:$D$4,
  MATCH(G294, _RiskMatrix!$A$2:$A$4, 0),
  MATCH(H294, _RiskMatrix!$B$1:$D$1, 0)
 ))</f>
        <v/>
      </c>
      <c r="J294" s="92" t="str">
        <f t="shared" si="4"/>
        <v/>
      </c>
    </row>
    <row r="295" spans="3:10">
      <c r="C295" s="89" t="str">
        <f>IFERROR(VLOOKUP(B295, 'Asset Register'!A:B, 2, FALSE), "")</f>
        <v/>
      </c>
      <c r="I295" s="83" t="str">
        <f>IF(OR(G295="", H295=""), "",
 INDEX(_RiskMatrix!$B$2:$D$4,
  MATCH(G295, _RiskMatrix!$A$2:$A$4, 0),
  MATCH(H295, _RiskMatrix!$B$1:$D$1, 0)
 ))</f>
        <v/>
      </c>
      <c r="J295" s="92" t="str">
        <f t="shared" si="4"/>
        <v/>
      </c>
    </row>
    <row r="296" spans="3:10">
      <c r="C296" s="89" t="str">
        <f>IFERROR(VLOOKUP(B296, 'Asset Register'!A:B, 2, FALSE), "")</f>
        <v/>
      </c>
      <c r="I296" s="83" t="str">
        <f>IF(OR(G296="", H296=""), "",
 INDEX(_RiskMatrix!$B$2:$D$4,
  MATCH(G296, _RiskMatrix!$A$2:$A$4, 0),
  MATCH(H296, _RiskMatrix!$B$1:$D$1, 0)
 ))</f>
        <v/>
      </c>
      <c r="J296" s="92" t="str">
        <f t="shared" si="4"/>
        <v/>
      </c>
    </row>
    <row r="297" spans="3:10">
      <c r="C297" s="89" t="str">
        <f>IFERROR(VLOOKUP(B297, 'Asset Register'!A:B, 2, FALSE), "")</f>
        <v/>
      </c>
      <c r="I297" s="83" t="str">
        <f>IF(OR(G297="", H297=""), "",
 INDEX(_RiskMatrix!$B$2:$D$4,
  MATCH(G297, _RiskMatrix!$A$2:$A$4, 0),
  MATCH(H297, _RiskMatrix!$B$1:$D$1, 0)
 ))</f>
        <v/>
      </c>
      <c r="J297" s="92" t="str">
        <f t="shared" si="4"/>
        <v/>
      </c>
    </row>
    <row r="298" spans="3:10">
      <c r="C298" s="89" t="str">
        <f>IFERROR(VLOOKUP(B298, 'Asset Register'!A:B, 2, FALSE), "")</f>
        <v/>
      </c>
      <c r="I298" s="83" t="str">
        <f>IF(OR(G298="", H298=""), "",
 INDEX(_RiskMatrix!$B$2:$D$4,
  MATCH(G298, _RiskMatrix!$A$2:$A$4, 0),
  MATCH(H298, _RiskMatrix!$B$1:$D$1, 0)
 ))</f>
        <v/>
      </c>
      <c r="J298" s="92" t="str">
        <f t="shared" si="4"/>
        <v/>
      </c>
    </row>
    <row r="299" spans="3:10">
      <c r="C299" s="89" t="str">
        <f>IFERROR(VLOOKUP(B299, 'Asset Register'!A:B, 2, FALSE), "")</f>
        <v/>
      </c>
      <c r="I299" s="83" t="str">
        <f>IF(OR(G299="", H299=""), "",
 INDEX(_RiskMatrix!$B$2:$D$4,
  MATCH(G299, _RiskMatrix!$A$2:$A$4, 0),
  MATCH(H299, _RiskMatrix!$B$1:$D$1, 0)
 ))</f>
        <v/>
      </c>
      <c r="J299" s="92" t="str">
        <f t="shared" si="4"/>
        <v/>
      </c>
    </row>
    <row r="300" spans="3:10">
      <c r="C300" s="89" t="str">
        <f>IFERROR(VLOOKUP(B300, 'Asset Register'!A:B, 2, FALSE), "")</f>
        <v/>
      </c>
      <c r="I300" s="83" t="str">
        <f>IF(OR(G300="", H300=""), "",
 INDEX(_RiskMatrix!$B$2:$D$4,
  MATCH(G300, _RiskMatrix!$A$2:$A$4, 0),
  MATCH(H300, _RiskMatrix!$B$1:$D$1, 0)
 ))</f>
        <v/>
      </c>
      <c r="J300" s="92" t="str">
        <f t="shared" si="4"/>
        <v/>
      </c>
    </row>
    <row r="301" spans="3:10">
      <c r="C301" s="89" t="str">
        <f>IFERROR(VLOOKUP(B301, 'Asset Register'!A:B, 2, FALSE), "")</f>
        <v/>
      </c>
      <c r="I301" s="83" t="str">
        <f>IF(OR(G301="", H301=""), "",
 INDEX(_RiskMatrix!$B$2:$D$4,
  MATCH(G301, _RiskMatrix!$A$2:$A$4, 0),
  MATCH(H301, _RiskMatrix!$B$1:$D$1, 0)
 ))</f>
        <v/>
      </c>
      <c r="J301" s="92" t="str">
        <f t="shared" si="4"/>
        <v/>
      </c>
    </row>
  </sheetData>
  <conditionalFormatting sqref="G1:G1048576">
    <cfRule type="containsText" dxfId="14" priority="6" operator="containsText" text="Vysoký">
      <formula>NOT(ISERROR(SEARCH("Vysoký",G1)))</formula>
    </cfRule>
    <cfRule type="containsText" dxfId="13" priority="7" operator="containsText" text="Nízký">
      <formula>NOT(ISERROR(SEARCH("Nízký",G1)))</formula>
    </cfRule>
  </conditionalFormatting>
  <conditionalFormatting sqref="G1:J1048576">
    <cfRule type="containsText" dxfId="12" priority="13" operator="containsText" text="Vysoká">
      <formula>NOT(ISERROR(SEARCH("Vysoká",G1)))</formula>
    </cfRule>
    <cfRule type="containsText" dxfId="11" priority="14" operator="containsText" text="Střední">
      <formula>NOT(ISERROR(SEARCH("Střední",G1)))</formula>
    </cfRule>
    <cfRule type="containsText" dxfId="10" priority="15" operator="containsText" text="Nízká">
      <formula>NOT(ISERROR(SEARCH("Nízká",G1)))</formula>
    </cfRule>
  </conditionalFormatting>
  <conditionalFormatting sqref="M1:M1048576">
    <cfRule type="containsText" dxfId="9" priority="8" operator="containsText" text="Uzavřené">
      <formula>NOT(ISERROR(SEARCH("Uzavřené",M1)))</formula>
    </cfRule>
    <cfRule type="containsText" dxfId="8" priority="9" operator="containsText" text="Akceptované">
      <formula>NOT(ISERROR(SEARCH("Akceptované",M1)))</formula>
    </cfRule>
    <cfRule type="containsText" dxfId="7" priority="10" operator="containsText" text="Uzavřené">
      <formula>NOT(ISERROR(SEARCH("Uzavřené",M1)))</formula>
    </cfRule>
    <cfRule type="containsText" dxfId="6" priority="11" operator="containsText" text="Akceptované">
      <formula>NOT(ISERROR(SEARCH("Akceptované",M1)))</formula>
    </cfRule>
    <cfRule type="containsText" dxfId="5" priority="12" operator="containsText" text="Řeší se">
      <formula>NOT(ISERROR(SEARCH("Řeší se",M1)))</formula>
    </cfRule>
  </conditionalFormatting>
  <conditionalFormatting sqref="N1">
    <cfRule type="containsText" dxfId="4" priority="1" operator="containsText" text="Uzavřené">
      <formula>NOT(ISERROR(SEARCH("Uzavřené",N1)))</formula>
    </cfRule>
    <cfRule type="containsText" dxfId="3" priority="2" operator="containsText" text="Akceptované">
      <formula>NOT(ISERROR(SEARCH("Akceptované",N1)))</formula>
    </cfRule>
    <cfRule type="containsText" dxfId="2" priority="3" operator="containsText" text="Uzavřené">
      <formula>NOT(ISERROR(SEARCH("Uzavřené",N1)))</formula>
    </cfRule>
    <cfRule type="containsText" dxfId="1" priority="4" operator="containsText" text="Akceptované">
      <formula>NOT(ISERROR(SEARCH("Akceptované",N1)))</formula>
    </cfRule>
    <cfRule type="containsText" dxfId="0" priority="5" operator="containsText" text="Řeší se">
      <formula>NOT(ISERROR(SEARCH("Řeší se",N1)))</formula>
    </cfRule>
  </conditionalFormatting>
  <dataValidations count="3">
    <dataValidation type="list" allowBlank="1" showInputMessage="1" showErrorMessage="1" sqref="G2:G1048576" xr:uid="{6A07E0D6-CCF8-4E64-A8D8-26C32321FF42}">
      <formula1>Dopad</formula1>
    </dataValidation>
    <dataValidation type="list" allowBlank="1" showInputMessage="1" showErrorMessage="1" sqref="M2:M1048576" xr:uid="{4007FBA9-3D53-4555-A053-E3CF358B420D}">
      <formula1>Stav</formula1>
    </dataValidation>
    <dataValidation type="list" allowBlank="1" showInputMessage="1" showErrorMessage="1" sqref="H2:H1048576" xr:uid="{CBAFDE7C-FE13-46DF-BA8B-00317E0BDE63}">
      <formula1>Riziko</formula1>
    </dataValidation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0E543B-7ACB-4962-B001-213EBC1BCB7E}">
          <x14:formula1>
            <xm:f>'Asset Register'!$A$2:$A$1048576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1CF1-2F53-4145-82C2-2D044D98A81C}">
  <dimension ref="A1:N168"/>
  <sheetViews>
    <sheetView zoomScaleNormal="100" workbookViewId="0">
      <selection activeCell="P10" sqref="P10"/>
    </sheetView>
  </sheetViews>
  <sheetFormatPr defaultRowHeight="15"/>
  <cols>
    <col min="2" max="2" width="9.140625" customWidth="1"/>
  </cols>
  <sheetData>
    <row r="1" spans="1:9" ht="19.5">
      <c r="A1" s="94" t="s">
        <v>118</v>
      </c>
      <c r="B1" s="19"/>
      <c r="C1" s="19"/>
      <c r="D1" s="19"/>
    </row>
    <row r="2" spans="1:9" ht="15.75">
      <c r="A2" s="4"/>
    </row>
    <row r="3" spans="1:9" ht="18.75">
      <c r="A3" s="95" t="s">
        <v>51</v>
      </c>
    </row>
    <row r="4" spans="1:9" ht="15.75">
      <c r="A4" s="5" t="s">
        <v>52</v>
      </c>
      <c r="B4" s="18"/>
      <c r="C4" s="18"/>
      <c r="D4" s="18"/>
      <c r="E4" s="18"/>
      <c r="F4" s="18"/>
      <c r="G4" s="18"/>
      <c r="H4" s="18"/>
      <c r="I4" s="18"/>
    </row>
    <row r="5" spans="1:9" ht="15.75">
      <c r="A5" s="6" t="s">
        <v>53</v>
      </c>
      <c r="B5" s="18"/>
      <c r="C5" s="18"/>
      <c r="D5" s="18"/>
      <c r="E5" s="18"/>
      <c r="F5" s="18"/>
      <c r="G5" s="18"/>
      <c r="H5" s="18"/>
      <c r="I5" s="18"/>
    </row>
    <row r="6" spans="1:9" ht="15.75">
      <c r="A6" s="6" t="s">
        <v>54</v>
      </c>
      <c r="B6" s="18"/>
      <c r="C6" s="18"/>
      <c r="D6" s="18"/>
      <c r="E6" s="18"/>
      <c r="F6" s="18"/>
      <c r="G6" s="18"/>
      <c r="H6" s="18"/>
      <c r="I6" s="18"/>
    </row>
    <row r="7" spans="1:9" ht="15.75">
      <c r="A7" s="6" t="s">
        <v>55</v>
      </c>
      <c r="B7" s="18"/>
      <c r="C7" s="18"/>
      <c r="D7" s="18"/>
      <c r="E7" s="18"/>
      <c r="F7" s="18"/>
      <c r="G7" s="18"/>
      <c r="H7" s="18"/>
      <c r="I7" s="18"/>
    </row>
    <row r="8" spans="1:9" ht="15.75">
      <c r="A8" s="6" t="s">
        <v>56</v>
      </c>
      <c r="B8" s="18"/>
      <c r="C8" s="18"/>
      <c r="D8" s="18"/>
      <c r="E8" s="18"/>
      <c r="F8" s="18"/>
      <c r="G8" s="18"/>
      <c r="H8" s="18"/>
      <c r="I8" s="18"/>
    </row>
    <row r="9" spans="1:9" ht="15.75">
      <c r="A9" s="5" t="s">
        <v>57</v>
      </c>
      <c r="B9" s="18"/>
      <c r="C9" s="18"/>
      <c r="D9" s="18"/>
      <c r="E9" s="18"/>
      <c r="F9" s="18"/>
      <c r="G9" s="18"/>
      <c r="H9" s="18"/>
      <c r="I9" s="18"/>
    </row>
    <row r="11" spans="1:9" ht="18.75">
      <c r="A11" s="95" t="s">
        <v>58</v>
      </c>
      <c r="B11" s="14"/>
    </row>
    <row r="12" spans="1:9" ht="15.75">
      <c r="A12" s="6" t="s">
        <v>59</v>
      </c>
      <c r="B12" s="18"/>
      <c r="C12" s="18"/>
      <c r="D12" s="18"/>
      <c r="E12" s="18"/>
      <c r="F12" s="18"/>
      <c r="G12" s="18"/>
      <c r="H12" s="18"/>
    </row>
    <row r="13" spans="1:9" ht="15.75">
      <c r="A13" s="6" t="s">
        <v>163</v>
      </c>
      <c r="B13" s="18"/>
      <c r="C13" s="18"/>
      <c r="D13" s="18"/>
      <c r="E13" s="18"/>
      <c r="F13" s="18"/>
      <c r="G13" s="18"/>
      <c r="H13" s="18"/>
    </row>
    <row r="14" spans="1:9" ht="15.75">
      <c r="A14" s="6" t="s">
        <v>60</v>
      </c>
      <c r="B14" s="18"/>
      <c r="C14" s="18"/>
      <c r="D14" s="18"/>
      <c r="E14" s="18"/>
      <c r="F14" s="18"/>
      <c r="G14" s="18"/>
      <c r="H14" s="18"/>
    </row>
    <row r="15" spans="1:9" ht="15.75">
      <c r="A15" s="6" t="s">
        <v>61</v>
      </c>
      <c r="B15" s="18"/>
      <c r="C15" s="18"/>
      <c r="D15" s="18"/>
      <c r="E15" s="18"/>
      <c r="F15" s="18"/>
      <c r="G15" s="18"/>
      <c r="H15" s="18"/>
    </row>
    <row r="17" spans="1:7" ht="18.75">
      <c r="A17" s="95" t="s">
        <v>62</v>
      </c>
    </row>
    <row r="18" spans="1:7" ht="15.75">
      <c r="A18" s="96" t="s">
        <v>63</v>
      </c>
    </row>
    <row r="19" spans="1:7" ht="15.75">
      <c r="A19" s="5" t="s">
        <v>64</v>
      </c>
      <c r="B19" s="18"/>
      <c r="C19" s="18"/>
      <c r="D19" s="18"/>
    </row>
    <row r="20" spans="1:7" ht="15.75">
      <c r="A20" s="10" t="s">
        <v>65</v>
      </c>
      <c r="B20" s="21"/>
      <c r="C20" s="21"/>
      <c r="D20" s="21"/>
    </row>
    <row r="22" spans="1:7" ht="15.75">
      <c r="A22" s="96" t="s">
        <v>66</v>
      </c>
    </row>
    <row r="23" spans="1:7" ht="15.75">
      <c r="A23" s="5" t="s">
        <v>67</v>
      </c>
      <c r="B23" s="18"/>
      <c r="C23" s="18"/>
      <c r="D23" s="18"/>
      <c r="E23" s="18"/>
    </row>
    <row r="25" spans="1:7" ht="15.75">
      <c r="A25" s="96" t="s">
        <v>3</v>
      </c>
    </row>
    <row r="26" spans="1:7" ht="15.75">
      <c r="A26" s="5" t="s">
        <v>68</v>
      </c>
      <c r="B26" s="18"/>
      <c r="C26" s="18"/>
    </row>
    <row r="27" spans="1:7" ht="15.75">
      <c r="A27" s="6" t="s">
        <v>69</v>
      </c>
      <c r="B27" s="18"/>
      <c r="C27" s="18"/>
    </row>
    <row r="28" spans="1:7">
      <c r="G28" s="97"/>
    </row>
    <row r="29" spans="1:7" ht="15.75">
      <c r="A29" s="96" t="s">
        <v>6</v>
      </c>
    </row>
    <row r="30" spans="1:7" ht="15.75">
      <c r="A30" s="5" t="s">
        <v>70</v>
      </c>
      <c r="B30" s="18"/>
      <c r="C30" s="18"/>
      <c r="D30" s="18"/>
    </row>
    <row r="31" spans="1:7" ht="15.75">
      <c r="A31" s="10" t="s">
        <v>71</v>
      </c>
      <c r="B31" s="21"/>
      <c r="C31" s="21"/>
      <c r="D31" s="21"/>
    </row>
    <row r="33" spans="1:7" ht="15.75">
      <c r="A33" s="96" t="s">
        <v>72</v>
      </c>
    </row>
    <row r="34" spans="1:7" ht="15.75">
      <c r="A34" s="5" t="s">
        <v>73</v>
      </c>
      <c r="B34" s="18"/>
      <c r="C34" s="18"/>
      <c r="D34" s="18"/>
      <c r="E34" s="18"/>
    </row>
    <row r="35" spans="1:7" ht="15.75">
      <c r="A35" s="7" t="s">
        <v>74</v>
      </c>
      <c r="B35" s="18"/>
      <c r="C35" s="18"/>
      <c r="D35" s="18"/>
      <c r="E35" s="18"/>
    </row>
    <row r="36" spans="1:7" ht="15.75">
      <c r="A36" s="8" t="s">
        <v>75</v>
      </c>
      <c r="B36" s="22"/>
      <c r="C36" s="22"/>
      <c r="D36" s="22"/>
      <c r="E36" s="22"/>
    </row>
    <row r="38" spans="1:7" ht="15.75">
      <c r="A38" s="96" t="s">
        <v>18</v>
      </c>
    </row>
    <row r="39" spans="1:7" ht="15.75">
      <c r="A39" s="5" t="s">
        <v>76</v>
      </c>
      <c r="B39" s="18"/>
      <c r="C39" s="18"/>
      <c r="D39" s="18"/>
      <c r="E39" s="18"/>
    </row>
    <row r="40" spans="1:7" ht="15.75">
      <c r="A40" s="5" t="s">
        <v>77</v>
      </c>
      <c r="B40" s="18"/>
      <c r="C40" s="18"/>
      <c r="D40" s="18"/>
      <c r="E40" s="18"/>
    </row>
    <row r="42" spans="1:7" ht="15.75">
      <c r="A42" s="96" t="s">
        <v>78</v>
      </c>
    </row>
    <row r="43" spans="1:7" ht="15.75">
      <c r="A43" s="5" t="s">
        <v>79</v>
      </c>
      <c r="B43" s="18"/>
      <c r="C43" s="18"/>
      <c r="D43" s="18"/>
      <c r="E43" s="18"/>
      <c r="F43" s="18"/>
    </row>
    <row r="44" spans="1:7" ht="15.75">
      <c r="A44" s="10" t="s">
        <v>80</v>
      </c>
      <c r="B44" s="21"/>
      <c r="C44" s="21"/>
      <c r="D44" s="21"/>
      <c r="E44" s="21"/>
      <c r="F44" s="21"/>
    </row>
    <row r="46" spans="1:7" ht="15.75">
      <c r="A46" s="96" t="s">
        <v>81</v>
      </c>
    </row>
    <row r="47" spans="1:7" ht="15.75">
      <c r="A47" s="5" t="s">
        <v>82</v>
      </c>
      <c r="B47" s="18"/>
      <c r="C47" s="18"/>
      <c r="D47" s="18"/>
      <c r="E47" s="18"/>
      <c r="F47" s="18"/>
      <c r="G47" s="18"/>
    </row>
    <row r="48" spans="1:7" ht="15.75">
      <c r="A48" s="6" t="s">
        <v>37</v>
      </c>
      <c r="B48" s="18"/>
      <c r="C48" s="18"/>
      <c r="D48" s="18"/>
      <c r="E48" s="18"/>
      <c r="F48" s="18"/>
      <c r="G48" s="18"/>
    </row>
    <row r="49" spans="1:7" ht="15.75">
      <c r="A49" s="6" t="s">
        <v>38</v>
      </c>
      <c r="B49" s="18"/>
      <c r="C49" s="18"/>
      <c r="D49" s="18"/>
      <c r="E49" s="18"/>
      <c r="F49" s="18"/>
      <c r="G49" s="18"/>
    </row>
    <row r="50" spans="1:7" ht="15.75">
      <c r="A50" s="6" t="s">
        <v>39</v>
      </c>
      <c r="B50" s="18"/>
      <c r="C50" s="18"/>
      <c r="D50" s="18"/>
      <c r="E50" s="18"/>
      <c r="F50" s="18"/>
      <c r="G50" s="18"/>
    </row>
    <row r="51" spans="1:7" ht="15.75">
      <c r="A51" s="6" t="s">
        <v>40</v>
      </c>
      <c r="B51" s="18"/>
      <c r="C51" s="18"/>
      <c r="D51" s="18"/>
      <c r="E51" s="18"/>
      <c r="F51" s="18"/>
      <c r="G51" s="18"/>
    </row>
    <row r="52" spans="1:7" ht="15.75">
      <c r="A52" s="6"/>
      <c r="B52" s="18"/>
      <c r="C52" s="18"/>
      <c r="D52" s="18"/>
      <c r="E52" s="18"/>
      <c r="F52" s="18"/>
      <c r="G52" s="18"/>
    </row>
    <row r="53" spans="1:7" ht="15.75">
      <c r="A53" s="18" t="s">
        <v>164</v>
      </c>
      <c r="B53" s="18"/>
      <c r="C53" s="18"/>
      <c r="D53" s="18"/>
      <c r="E53" s="18"/>
      <c r="F53" s="18"/>
      <c r="G53" s="18"/>
    </row>
    <row r="54" spans="1:7" ht="15.75">
      <c r="A54" s="8" t="s">
        <v>83</v>
      </c>
      <c r="B54" s="22"/>
      <c r="C54" s="22"/>
      <c r="D54" s="22"/>
      <c r="E54" s="22"/>
      <c r="F54" s="22"/>
      <c r="G54" s="22"/>
    </row>
    <row r="56" spans="1:7" ht="15.75">
      <c r="A56" s="96" t="s">
        <v>171</v>
      </c>
    </row>
    <row r="57" spans="1:7" ht="15.75">
      <c r="A57" s="5" t="s">
        <v>85</v>
      </c>
      <c r="B57" s="18"/>
      <c r="C57" s="18"/>
      <c r="D57" s="18"/>
    </row>
    <row r="58" spans="1:7" ht="15.75">
      <c r="A58" s="6" t="s">
        <v>86</v>
      </c>
      <c r="B58" s="18"/>
      <c r="C58" s="18"/>
      <c r="D58" s="18"/>
    </row>
    <row r="59" spans="1:7" ht="15.75">
      <c r="A59" s="6" t="s">
        <v>87</v>
      </c>
      <c r="B59" s="18"/>
      <c r="C59" s="18"/>
      <c r="D59" s="18"/>
    </row>
    <row r="60" spans="1:7" ht="15.75">
      <c r="A60" s="6" t="s">
        <v>88</v>
      </c>
      <c r="B60" s="18"/>
      <c r="C60" s="18"/>
      <c r="D60" s="18"/>
    </row>
    <row r="61" spans="1:7" ht="15.75">
      <c r="A61" s="5" t="s">
        <v>140</v>
      </c>
      <c r="B61" s="18" t="s">
        <v>141</v>
      </c>
      <c r="C61" s="18" t="s">
        <v>16</v>
      </c>
      <c r="D61" s="18" t="s">
        <v>17</v>
      </c>
    </row>
    <row r="63" spans="1:7" ht="15.75">
      <c r="A63" s="96" t="s">
        <v>89</v>
      </c>
    </row>
    <row r="64" spans="1:7" ht="15.75">
      <c r="A64" s="5" t="s">
        <v>90</v>
      </c>
      <c r="B64" s="18"/>
      <c r="C64" s="18"/>
      <c r="D64" s="18"/>
      <c r="E64" s="18"/>
    </row>
    <row r="66" spans="1:6" ht="15.75">
      <c r="A66" s="96" t="s">
        <v>91</v>
      </c>
    </row>
    <row r="67" spans="1:6" ht="15.75">
      <c r="A67" s="5" t="s">
        <v>92</v>
      </c>
      <c r="B67" s="18"/>
      <c r="C67" s="18"/>
      <c r="D67" s="18"/>
      <c r="E67" s="18"/>
      <c r="F67" s="18"/>
    </row>
    <row r="69" spans="1:6" ht="15.75">
      <c r="A69" s="96" t="s">
        <v>93</v>
      </c>
    </row>
    <row r="70" spans="1:6" ht="15.75">
      <c r="A70" s="5" t="s">
        <v>94</v>
      </c>
      <c r="B70" s="18"/>
      <c r="C70" s="18"/>
      <c r="D70" s="18"/>
      <c r="E70" s="18"/>
    </row>
    <row r="72" spans="1:6" ht="15.75">
      <c r="A72" s="96" t="s">
        <v>23</v>
      </c>
    </row>
    <row r="73" spans="1:6" ht="15.75">
      <c r="A73" s="5" t="s">
        <v>95</v>
      </c>
      <c r="B73" s="18"/>
      <c r="C73" s="18"/>
      <c r="D73" s="18"/>
    </row>
    <row r="74" spans="1:6" ht="15.75">
      <c r="A74" s="6" t="s">
        <v>96</v>
      </c>
      <c r="B74" s="18"/>
      <c r="C74" s="18"/>
      <c r="D74" s="18"/>
    </row>
    <row r="76" spans="1:6" ht="15.75">
      <c r="A76" s="96" t="s">
        <v>27</v>
      </c>
    </row>
    <row r="77" spans="1:6" ht="15.75">
      <c r="A77" s="5" t="s">
        <v>97</v>
      </c>
      <c r="B77" s="18"/>
      <c r="C77" s="18"/>
    </row>
    <row r="78" spans="1:6" ht="15.75">
      <c r="A78" s="6" t="s">
        <v>24</v>
      </c>
      <c r="B78" s="18"/>
      <c r="C78" s="18"/>
    </row>
    <row r="79" spans="1:6" ht="15.75">
      <c r="A79" s="6" t="s">
        <v>25</v>
      </c>
      <c r="B79" s="18"/>
      <c r="C79" s="18"/>
    </row>
    <row r="80" spans="1:6" ht="15.75">
      <c r="A80" s="6" t="s">
        <v>26</v>
      </c>
      <c r="B80" s="18"/>
      <c r="C80" s="18"/>
    </row>
    <row r="81" spans="1:14" ht="15.75">
      <c r="A81" s="6" t="s">
        <v>46</v>
      </c>
      <c r="B81" s="18"/>
      <c r="C81" s="18"/>
    </row>
    <row r="83" spans="1:14" ht="15.75">
      <c r="A83" s="96" t="s">
        <v>31</v>
      </c>
    </row>
    <row r="84" spans="1:14" ht="15.75">
      <c r="A84" s="5" t="s">
        <v>98</v>
      </c>
      <c r="B84" s="18"/>
      <c r="C84" s="18"/>
      <c r="D84" s="18"/>
    </row>
    <row r="85" spans="1:14" ht="15.75">
      <c r="A85" s="6" t="s">
        <v>99</v>
      </c>
      <c r="B85" s="18"/>
      <c r="C85" s="18"/>
      <c r="D85" s="18"/>
    </row>
    <row r="87" spans="1:14" ht="15.75">
      <c r="A87" s="96" t="s">
        <v>45</v>
      </c>
    </row>
    <row r="88" spans="1:14" ht="15.75">
      <c r="A88" s="5" t="s">
        <v>100</v>
      </c>
      <c r="B88" s="18"/>
      <c r="C88" s="18"/>
    </row>
    <row r="89" spans="1:14" ht="15.75">
      <c r="A89" s="6" t="s">
        <v>42</v>
      </c>
      <c r="B89" s="18"/>
      <c r="C89" s="18"/>
    </row>
    <row r="90" spans="1:14" ht="15.75">
      <c r="A90" s="6" t="s">
        <v>43</v>
      </c>
      <c r="B90" s="18"/>
      <c r="C90" s="18"/>
    </row>
    <row r="91" spans="1:14" ht="15.75">
      <c r="A91" s="6" t="s">
        <v>44</v>
      </c>
      <c r="B91" s="18"/>
      <c r="C91" s="18"/>
    </row>
    <row r="93" spans="1:14" ht="15.75">
      <c r="A93" s="96" t="s">
        <v>101</v>
      </c>
    </row>
    <row r="94" spans="1:14" ht="15.75">
      <c r="A94" s="5" t="s">
        <v>119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4" ht="15.75">
      <c r="A95" s="22" t="s">
        <v>120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9"/>
    </row>
    <row r="97" spans="1:8" ht="15.75">
      <c r="A97" s="96" t="s">
        <v>102</v>
      </c>
    </row>
    <row r="98" spans="1:8" ht="15.75">
      <c r="A98" s="5" t="s">
        <v>103</v>
      </c>
      <c r="B98" s="18"/>
      <c r="C98" s="18"/>
      <c r="D98" s="18"/>
      <c r="E98" s="18"/>
      <c r="F98" s="18"/>
    </row>
    <row r="99" spans="1:8" ht="15.75">
      <c r="A99" s="10" t="s">
        <v>104</v>
      </c>
      <c r="B99" s="21"/>
      <c r="C99" s="21"/>
      <c r="D99" s="21"/>
      <c r="E99" s="21"/>
      <c r="F99" s="21"/>
    </row>
    <row r="101" spans="1:8" ht="15.75">
      <c r="A101" s="96" t="s">
        <v>208</v>
      </c>
    </row>
    <row r="102" spans="1:8" ht="15.75">
      <c r="A102" t="s">
        <v>223</v>
      </c>
      <c r="B102" s="18"/>
      <c r="C102" s="18"/>
    </row>
    <row r="103" spans="1:8" ht="15.75">
      <c r="A103" s="18"/>
      <c r="B103" s="18"/>
      <c r="C103" s="18"/>
      <c r="D103" s="18"/>
      <c r="E103" s="18"/>
      <c r="F103" s="18"/>
      <c r="G103" s="18"/>
      <c r="H103" s="18"/>
    </row>
    <row r="104" spans="1:8" ht="15.75">
      <c r="A104" s="98" t="s">
        <v>220</v>
      </c>
      <c r="B104" s="18"/>
      <c r="C104" s="18"/>
      <c r="D104" s="18"/>
      <c r="E104" s="18"/>
      <c r="F104" s="18"/>
      <c r="G104" s="18"/>
      <c r="H104" s="18"/>
    </row>
    <row r="105" spans="1:8" ht="15.75">
      <c r="A105" t="s">
        <v>224</v>
      </c>
      <c r="B105" s="18"/>
      <c r="C105" s="18"/>
      <c r="D105" s="18"/>
      <c r="E105" s="18"/>
      <c r="F105" s="18"/>
      <c r="G105" s="18"/>
      <c r="H105" s="18"/>
    </row>
    <row r="106" spans="1:8" ht="15.75">
      <c r="A106" t="s">
        <v>225</v>
      </c>
      <c r="B106" s="18"/>
      <c r="C106" s="18"/>
      <c r="D106" s="18"/>
      <c r="E106" s="18"/>
      <c r="F106" s="18"/>
      <c r="G106" s="18"/>
      <c r="H106" s="18"/>
    </row>
    <row r="107" spans="1:8">
      <c r="A107" t="s">
        <v>226</v>
      </c>
    </row>
    <row r="109" spans="1:8" ht="15.75">
      <c r="A109" s="99" t="s">
        <v>105</v>
      </c>
    </row>
    <row r="110" spans="1:8" ht="15.75">
      <c r="A110" s="5" t="s">
        <v>106</v>
      </c>
      <c r="B110" s="18"/>
      <c r="C110" s="18"/>
    </row>
    <row r="111" spans="1:8" ht="15.75">
      <c r="A111" s="5" t="s">
        <v>107</v>
      </c>
      <c r="B111" s="18"/>
      <c r="C111" s="18"/>
    </row>
    <row r="113" spans="1:7" ht="15.75">
      <c r="A113" s="99" t="s">
        <v>108</v>
      </c>
    </row>
    <row r="114" spans="1:7" ht="15.75">
      <c r="A114" s="5" t="s">
        <v>109</v>
      </c>
      <c r="B114" s="18"/>
      <c r="C114" s="18"/>
      <c r="D114" s="18"/>
      <c r="E114" s="18"/>
      <c r="F114" s="18"/>
      <c r="G114" s="18"/>
    </row>
    <row r="115" spans="1:7" ht="15.75">
      <c r="A115" s="5" t="s">
        <v>110</v>
      </c>
      <c r="B115" s="18"/>
      <c r="C115" s="18"/>
      <c r="D115" s="18"/>
      <c r="E115" s="18"/>
      <c r="F115" s="18"/>
      <c r="G115" s="18"/>
    </row>
    <row r="117" spans="1:7" ht="15.75">
      <c r="A117" s="99" t="s">
        <v>111</v>
      </c>
    </row>
    <row r="118" spans="1:7" ht="15.75">
      <c r="A118" s="5" t="s">
        <v>112</v>
      </c>
      <c r="B118" s="18"/>
      <c r="C118" s="18"/>
      <c r="D118" s="18"/>
      <c r="E118" s="18"/>
      <c r="F118" s="18"/>
    </row>
    <row r="119" spans="1:7" ht="15.75">
      <c r="A119" s="6" t="s">
        <v>113</v>
      </c>
      <c r="B119" s="18"/>
      <c r="C119" s="18"/>
      <c r="D119" s="18"/>
      <c r="E119" s="18"/>
      <c r="F119" s="18"/>
    </row>
    <row r="120" spans="1:7" ht="15.75">
      <c r="A120" s="6" t="s">
        <v>114</v>
      </c>
      <c r="B120" s="18"/>
      <c r="C120" s="18"/>
      <c r="D120" s="18"/>
      <c r="E120" s="18"/>
      <c r="F120" s="18"/>
    </row>
    <row r="121" spans="1:7" ht="15.75">
      <c r="A121" s="6" t="s">
        <v>115</v>
      </c>
      <c r="B121" s="18"/>
      <c r="C121" s="18"/>
      <c r="D121" s="18"/>
      <c r="E121" s="18"/>
      <c r="F121" s="18"/>
    </row>
    <row r="122" spans="1:7" ht="15.75">
      <c r="A122" s="5" t="s">
        <v>116</v>
      </c>
      <c r="B122" s="18"/>
      <c r="C122" s="18"/>
      <c r="D122" s="18"/>
      <c r="E122" s="18"/>
      <c r="F122" s="18"/>
    </row>
    <row r="124" spans="1:7" ht="15.75">
      <c r="A124" s="99" t="s">
        <v>117</v>
      </c>
    </row>
    <row r="125" spans="1:7" ht="15.75">
      <c r="A125" s="6" t="s">
        <v>121</v>
      </c>
      <c r="B125" s="18"/>
      <c r="C125" s="18"/>
      <c r="D125" s="18"/>
      <c r="E125" s="18"/>
      <c r="F125" s="18"/>
    </row>
    <row r="126" spans="1:7" ht="15.75">
      <c r="A126" s="6" t="s">
        <v>122</v>
      </c>
      <c r="B126" s="18"/>
      <c r="C126" s="18"/>
      <c r="D126" s="18"/>
      <c r="E126" s="18"/>
      <c r="F126" s="18"/>
    </row>
    <row r="127" spans="1:7" ht="15.75">
      <c r="A127" s="6" t="s">
        <v>123</v>
      </c>
      <c r="B127" s="18"/>
      <c r="C127" s="18"/>
      <c r="D127" s="18"/>
      <c r="E127" s="18"/>
      <c r="F127" s="18"/>
    </row>
    <row r="128" spans="1:7" ht="15.75">
      <c r="A128" s="6"/>
    </row>
    <row r="129" spans="1:10" s="11" customFormat="1" ht="15.75">
      <c r="A129" s="20"/>
    </row>
    <row r="130" spans="1:10" ht="15.75">
      <c r="A130" s="5"/>
    </row>
    <row r="131" spans="1:10" s="16" customFormat="1" ht="18.75">
      <c r="A131" s="95" t="s">
        <v>142</v>
      </c>
    </row>
    <row r="132" spans="1:10" ht="15.75">
      <c r="A132" s="18" t="s">
        <v>143</v>
      </c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5.75">
      <c r="A133" s="18" t="s">
        <v>165</v>
      </c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5.75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5.75">
      <c r="A135" s="96" t="s">
        <v>144</v>
      </c>
      <c r="B135" s="17"/>
      <c r="C135" s="17"/>
      <c r="D135" s="17"/>
      <c r="E135" s="17"/>
      <c r="F135" s="18"/>
      <c r="G135" s="18"/>
      <c r="H135" s="18"/>
      <c r="I135" s="18"/>
      <c r="J135" s="18"/>
    </row>
    <row r="136" spans="1:10" ht="15.75">
      <c r="A136" s="18" t="s">
        <v>166</v>
      </c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5.75">
      <c r="A137" s="6" t="s">
        <v>167</v>
      </c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5.75">
      <c r="A138" s="6" t="s">
        <v>168</v>
      </c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5.75">
      <c r="A139" s="6" t="s">
        <v>169</v>
      </c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5.75">
      <c r="A140" s="18" t="s">
        <v>145</v>
      </c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5.75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5.75">
      <c r="A142" s="100" t="s">
        <v>161</v>
      </c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5.75">
      <c r="A143" s="18" t="s">
        <v>146</v>
      </c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5.75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5.75">
      <c r="A145" s="101" t="s">
        <v>50</v>
      </c>
      <c r="B145" s="24"/>
      <c r="C145" s="18"/>
      <c r="D145" s="18"/>
      <c r="E145" s="18"/>
      <c r="F145" s="18"/>
      <c r="G145" s="18"/>
      <c r="H145" s="18"/>
      <c r="I145" s="18"/>
      <c r="J145" s="18"/>
    </row>
    <row r="146" spans="1:10" ht="15.75">
      <c r="A146" s="5" t="s">
        <v>154</v>
      </c>
      <c r="B146" s="23"/>
      <c r="C146" s="18"/>
      <c r="D146" s="18"/>
      <c r="E146" s="18"/>
      <c r="F146" s="18"/>
      <c r="G146" s="18"/>
      <c r="H146" s="18"/>
      <c r="I146" s="18"/>
      <c r="J146" s="18"/>
    </row>
    <row r="147" spans="1:10" ht="15.75">
      <c r="A147" s="5" t="s">
        <v>155</v>
      </c>
      <c r="B147" s="23"/>
      <c r="C147" s="18"/>
      <c r="D147" s="18"/>
      <c r="E147" s="18"/>
      <c r="F147" s="18"/>
      <c r="G147" s="18"/>
      <c r="H147" s="18"/>
      <c r="I147" s="18"/>
      <c r="J147" s="18"/>
    </row>
    <row r="148" spans="1:10" ht="15.75">
      <c r="A148" s="5" t="s">
        <v>156</v>
      </c>
      <c r="B148" s="23"/>
      <c r="C148" s="18"/>
      <c r="D148" s="18"/>
      <c r="E148" s="18"/>
      <c r="F148" s="18"/>
      <c r="G148" s="18"/>
      <c r="H148" s="18"/>
      <c r="I148" s="18"/>
      <c r="J148" s="18"/>
    </row>
    <row r="149" spans="1:10" ht="15.75">
      <c r="A149" s="5" t="s">
        <v>157</v>
      </c>
      <c r="B149" s="23"/>
      <c r="C149" s="18"/>
      <c r="D149" s="18"/>
      <c r="E149" s="18"/>
      <c r="F149" s="18"/>
      <c r="G149" s="18"/>
      <c r="H149" s="18"/>
      <c r="I149" s="18"/>
      <c r="J149" s="18"/>
    </row>
    <row r="150" spans="1:10" ht="15.75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5.75">
      <c r="A151" s="100" t="s">
        <v>147</v>
      </c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5.75">
      <c r="A152" s="18" t="s">
        <v>170</v>
      </c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5.75">
      <c r="A153" s="102" t="s">
        <v>148</v>
      </c>
      <c r="B153" s="24"/>
      <c r="C153" s="18"/>
      <c r="D153" s="18"/>
      <c r="E153" s="18"/>
      <c r="F153" s="18"/>
      <c r="G153" s="18"/>
      <c r="H153" s="18"/>
      <c r="I153" s="18"/>
      <c r="J153" s="18"/>
    </row>
    <row r="154" spans="1:10" ht="15.75">
      <c r="A154" s="5" t="s">
        <v>158</v>
      </c>
      <c r="B154" s="23"/>
      <c r="C154" s="18"/>
      <c r="D154" s="18"/>
      <c r="E154" s="18"/>
      <c r="F154" s="18"/>
      <c r="G154" s="18"/>
      <c r="H154" s="18"/>
      <c r="I154" s="18"/>
      <c r="J154" s="18"/>
    </row>
    <row r="155" spans="1:10" ht="15.75">
      <c r="A155" s="5" t="s">
        <v>159</v>
      </c>
      <c r="B155" s="23"/>
      <c r="C155" s="18"/>
      <c r="D155" s="18"/>
      <c r="E155" s="18"/>
      <c r="F155" s="18"/>
      <c r="G155" s="18"/>
      <c r="H155" s="18"/>
      <c r="I155" s="18"/>
      <c r="J155" s="18"/>
    </row>
    <row r="156" spans="1:10" ht="15.75">
      <c r="A156" s="5" t="s">
        <v>160</v>
      </c>
      <c r="B156" s="23"/>
      <c r="C156" s="18"/>
      <c r="D156" s="18"/>
      <c r="E156" s="18"/>
      <c r="F156" s="18"/>
      <c r="G156" s="18"/>
      <c r="H156" s="18"/>
      <c r="I156" s="18"/>
      <c r="J156" s="18"/>
    </row>
    <row r="157" spans="1:10" ht="15.75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5.75">
      <c r="A158" s="18" t="s">
        <v>162</v>
      </c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5.75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5.75">
      <c r="A160" s="100" t="s">
        <v>149</v>
      </c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5.75">
      <c r="A161" s="18" t="s">
        <v>150</v>
      </c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5.75">
      <c r="A162" s="6" t="s">
        <v>217</v>
      </c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5.75">
      <c r="A163" s="6" t="s">
        <v>218</v>
      </c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5.75">
      <c r="A164" s="6" t="s">
        <v>219</v>
      </c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5.75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5.75">
      <c r="A166" s="103" t="s">
        <v>153</v>
      </c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5.75">
      <c r="A167" s="18" t="s">
        <v>151</v>
      </c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5.75">
      <c r="A168" s="18" t="s">
        <v>152</v>
      </c>
      <c r="B168" s="18"/>
      <c r="C168" s="18"/>
      <c r="D168" s="18"/>
      <c r="E168" s="18"/>
      <c r="F168" s="18"/>
      <c r="G168" s="18"/>
      <c r="H168" s="18"/>
      <c r="I168" s="18"/>
      <c r="J168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94CC-A0D0-4E9C-9BF3-0870554D9BBA}">
  <dimension ref="A1:G121"/>
  <sheetViews>
    <sheetView workbookViewId="0">
      <selection activeCell="L13" sqref="L13"/>
    </sheetView>
  </sheetViews>
  <sheetFormatPr defaultRowHeight="15"/>
  <cols>
    <col min="2" max="2" width="9.140625" customWidth="1"/>
    <col min="7" max="7" width="10" customWidth="1"/>
  </cols>
  <sheetData>
    <row r="1" spans="1:7" ht="19.5">
      <c r="A1" s="94" t="s">
        <v>118</v>
      </c>
      <c r="B1" s="19"/>
      <c r="C1" s="19"/>
      <c r="D1" s="19"/>
      <c r="E1" s="19"/>
      <c r="F1" s="84"/>
      <c r="G1" s="84"/>
    </row>
    <row r="2" spans="1:7" ht="19.5">
      <c r="A2" s="85"/>
      <c r="F2" s="84"/>
      <c r="G2" s="84"/>
    </row>
    <row r="3" spans="1:7" ht="18.75">
      <c r="A3" s="95" t="s">
        <v>51</v>
      </c>
    </row>
    <row r="4" spans="1:7">
      <c r="A4" t="s">
        <v>250</v>
      </c>
    </row>
    <row r="5" spans="1:7">
      <c r="A5" t="s">
        <v>251</v>
      </c>
    </row>
    <row r="6" spans="1:7">
      <c r="A6" s="80" t="s">
        <v>252</v>
      </c>
    </row>
    <row r="7" spans="1:7">
      <c r="A7" s="80" t="s">
        <v>253</v>
      </c>
    </row>
    <row r="8" spans="1:7">
      <c r="A8" s="80" t="s">
        <v>254</v>
      </c>
    </row>
    <row r="9" spans="1:7">
      <c r="A9" s="80" t="s">
        <v>255</v>
      </c>
    </row>
    <row r="10" spans="1:7">
      <c r="A10" t="s">
        <v>256</v>
      </c>
    </row>
    <row r="12" spans="1:7" ht="18.75">
      <c r="A12" s="95" t="s">
        <v>58</v>
      </c>
    </row>
    <row r="13" spans="1:7">
      <c r="A13" s="80" t="s">
        <v>257</v>
      </c>
    </row>
    <row r="14" spans="1:7">
      <c r="A14" s="80" t="s">
        <v>258</v>
      </c>
    </row>
    <row r="15" spans="1:7">
      <c r="A15" s="80" t="s">
        <v>259</v>
      </c>
    </row>
    <row r="16" spans="1:7">
      <c r="A16" s="80" t="s">
        <v>260</v>
      </c>
    </row>
    <row r="17" spans="1:1">
      <c r="A17" s="80" t="s">
        <v>261</v>
      </c>
    </row>
    <row r="18" spans="1:1">
      <c r="A18" s="80" t="s">
        <v>262</v>
      </c>
    </row>
    <row r="20" spans="1:1" ht="18.75">
      <c r="A20" s="95" t="s">
        <v>62</v>
      </c>
    </row>
    <row r="21" spans="1:1" ht="15.75">
      <c r="A21" s="96" t="s">
        <v>240</v>
      </c>
    </row>
    <row r="22" spans="1:1">
      <c r="A22" t="s">
        <v>263</v>
      </c>
    </row>
    <row r="23" spans="1:1">
      <c r="A23" t="s">
        <v>264</v>
      </c>
    </row>
    <row r="25" spans="1:1" ht="15.75">
      <c r="A25" s="96" t="s">
        <v>63</v>
      </c>
    </row>
    <row r="26" spans="1:1">
      <c r="A26" t="s">
        <v>265</v>
      </c>
    </row>
    <row r="27" spans="1:1">
      <c r="A27" t="s">
        <v>266</v>
      </c>
    </row>
    <row r="29" spans="1:1" ht="15.75">
      <c r="A29" s="96" t="s">
        <v>66</v>
      </c>
    </row>
    <row r="30" spans="1:1">
      <c r="A30" t="s">
        <v>267</v>
      </c>
    </row>
    <row r="31" spans="1:1">
      <c r="A31" t="s">
        <v>268</v>
      </c>
    </row>
    <row r="33" spans="1:4" ht="15.75">
      <c r="A33" s="96" t="s">
        <v>238</v>
      </c>
    </row>
    <row r="34" spans="1:4">
      <c r="A34" t="s">
        <v>269</v>
      </c>
    </row>
    <row r="35" spans="1:4">
      <c r="A35" t="s">
        <v>270</v>
      </c>
    </row>
    <row r="37" spans="1:4" ht="15.75">
      <c r="A37" s="96" t="s">
        <v>271</v>
      </c>
    </row>
    <row r="38" spans="1:4">
      <c r="A38" t="s">
        <v>272</v>
      </c>
    </row>
    <row r="39" spans="1:4">
      <c r="A39" t="s">
        <v>273</v>
      </c>
    </row>
    <row r="40" spans="1:4">
      <c r="A40" s="86" t="s">
        <v>274</v>
      </c>
      <c r="B40" s="86"/>
      <c r="C40" s="86"/>
      <c r="D40" s="86"/>
    </row>
    <row r="42" spans="1:4" ht="15.75">
      <c r="A42" s="96" t="s">
        <v>237</v>
      </c>
    </row>
    <row r="43" spans="1:4">
      <c r="A43" t="s">
        <v>275</v>
      </c>
    </row>
    <row r="44" spans="1:4">
      <c r="A44" s="80" t="s">
        <v>276</v>
      </c>
    </row>
    <row r="45" spans="1:4">
      <c r="A45" s="80" t="s">
        <v>277</v>
      </c>
    </row>
    <row r="46" spans="1:4">
      <c r="A46" s="80" t="s">
        <v>278</v>
      </c>
    </row>
    <row r="48" spans="1:4" ht="15.75">
      <c r="A48" s="96" t="s">
        <v>236</v>
      </c>
    </row>
    <row r="49" spans="1:1">
      <c r="A49" t="s">
        <v>279</v>
      </c>
    </row>
    <row r="50" spans="1:1">
      <c r="A50" t="s">
        <v>280</v>
      </c>
    </row>
    <row r="52" spans="1:1" ht="15.75">
      <c r="A52" s="96" t="s">
        <v>235</v>
      </c>
    </row>
    <row r="53" spans="1:1">
      <c r="A53" t="s">
        <v>281</v>
      </c>
    </row>
    <row r="54" spans="1:1">
      <c r="A54" t="s">
        <v>282</v>
      </c>
    </row>
    <row r="56" spans="1:1" ht="15.75">
      <c r="A56" s="96" t="s">
        <v>234</v>
      </c>
    </row>
    <row r="57" spans="1:1">
      <c r="A57" t="s">
        <v>283</v>
      </c>
    </row>
    <row r="58" spans="1:1">
      <c r="A58" t="s">
        <v>284</v>
      </c>
    </row>
    <row r="59" spans="1:1">
      <c r="A59" t="s">
        <v>282</v>
      </c>
    </row>
    <row r="61" spans="1:1" ht="15.75">
      <c r="A61" s="96" t="s">
        <v>233</v>
      </c>
    </row>
    <row r="62" spans="1:1">
      <c r="A62" t="s">
        <v>285</v>
      </c>
    </row>
    <row r="63" spans="1:1">
      <c r="A63" t="s">
        <v>286</v>
      </c>
    </row>
    <row r="64" spans="1:1">
      <c r="A64" t="s">
        <v>287</v>
      </c>
    </row>
    <row r="66" spans="1:3">
      <c r="A66" s="86" t="s">
        <v>153</v>
      </c>
      <c r="B66" s="86"/>
      <c r="C66" s="86"/>
    </row>
    <row r="67" spans="1:3">
      <c r="A67" s="86" t="s">
        <v>288</v>
      </c>
      <c r="B67" s="86"/>
      <c r="C67" s="86"/>
    </row>
    <row r="68" spans="1:3">
      <c r="A68" s="86" t="s">
        <v>289</v>
      </c>
      <c r="B68" s="86"/>
      <c r="C68" s="86"/>
    </row>
    <row r="70" spans="1:3" ht="15.75">
      <c r="A70" s="96" t="s">
        <v>232</v>
      </c>
    </row>
    <row r="72" spans="1:3">
      <c r="A72" t="s">
        <v>290</v>
      </c>
    </row>
    <row r="73" spans="1:3">
      <c r="A73" t="s">
        <v>291</v>
      </c>
    </row>
    <row r="75" spans="1:3" ht="15.75">
      <c r="A75" s="96" t="s">
        <v>292</v>
      </c>
    </row>
    <row r="76" spans="1:3">
      <c r="A76" t="s">
        <v>293</v>
      </c>
    </row>
    <row r="77" spans="1:3">
      <c r="A77" t="s">
        <v>294</v>
      </c>
    </row>
    <row r="79" spans="1:3" ht="15.75">
      <c r="A79" s="96" t="s">
        <v>230</v>
      </c>
    </row>
    <row r="80" spans="1:3">
      <c r="A80" t="s">
        <v>295</v>
      </c>
    </row>
    <row r="81" spans="1:1">
      <c r="A81" s="80" t="s">
        <v>245</v>
      </c>
    </row>
    <row r="82" spans="1:1">
      <c r="A82" s="80" t="s">
        <v>244</v>
      </c>
    </row>
    <row r="83" spans="1:1">
      <c r="A83" s="80" t="s">
        <v>242</v>
      </c>
    </row>
    <row r="84" spans="1:1">
      <c r="A84" s="80" t="s">
        <v>241</v>
      </c>
    </row>
    <row r="86" spans="1:1" ht="15.75">
      <c r="A86" s="96" t="s">
        <v>249</v>
      </c>
    </row>
    <row r="87" spans="1:1">
      <c r="A87" t="s">
        <v>296</v>
      </c>
    </row>
    <row r="88" spans="1:1">
      <c r="A88" t="s">
        <v>297</v>
      </c>
    </row>
    <row r="90" spans="1:1" ht="18.75">
      <c r="A90" s="95" t="s">
        <v>108</v>
      </c>
    </row>
    <row r="91" spans="1:1">
      <c r="A91" t="s">
        <v>298</v>
      </c>
    </row>
    <row r="92" spans="1:1">
      <c r="A92" t="s">
        <v>299</v>
      </c>
    </row>
    <row r="94" spans="1:1" ht="18.75">
      <c r="A94" s="95" t="s">
        <v>111</v>
      </c>
    </row>
    <row r="95" spans="1:1">
      <c r="A95" t="s">
        <v>300</v>
      </c>
    </row>
    <row r="96" spans="1:1">
      <c r="A96" s="80" t="s">
        <v>301</v>
      </c>
    </row>
    <row r="97" spans="1:1">
      <c r="A97" s="80" t="s">
        <v>302</v>
      </c>
    </row>
    <row r="98" spans="1:1">
      <c r="A98" s="80" t="s">
        <v>303</v>
      </c>
    </row>
    <row r="99" spans="1:1">
      <c r="A99" s="80" t="s">
        <v>304</v>
      </c>
    </row>
    <row r="100" spans="1:1">
      <c r="A100" t="s">
        <v>305</v>
      </c>
    </row>
    <row r="102" spans="1:1" ht="18.75">
      <c r="A102" s="95" t="s">
        <v>117</v>
      </c>
    </row>
    <row r="103" spans="1:1">
      <c r="A103" s="80" t="s">
        <v>306</v>
      </c>
    </row>
    <row r="104" spans="1:1">
      <c r="A104" s="80" t="s">
        <v>307</v>
      </c>
    </row>
    <row r="105" spans="1:1">
      <c r="A105" s="80" t="s">
        <v>308</v>
      </c>
    </row>
    <row r="106" spans="1:1">
      <c r="A106" s="80" t="s">
        <v>309</v>
      </c>
    </row>
    <row r="107" spans="1:1">
      <c r="A107" t="s">
        <v>310</v>
      </c>
    </row>
    <row r="108" spans="1:1">
      <c r="A108" t="s">
        <v>311</v>
      </c>
    </row>
    <row r="110" spans="1:1" ht="18.75">
      <c r="A110" s="95" t="s">
        <v>312</v>
      </c>
    </row>
    <row r="111" spans="1:1">
      <c r="A111" t="s">
        <v>313</v>
      </c>
    </row>
    <row r="112" spans="1:1">
      <c r="A112" t="s">
        <v>314</v>
      </c>
    </row>
    <row r="113" spans="1:1">
      <c r="A113" t="s">
        <v>315</v>
      </c>
    </row>
    <row r="114" spans="1:1">
      <c r="A114" t="s">
        <v>316</v>
      </c>
    </row>
    <row r="116" spans="1:1">
      <c r="A116" t="s">
        <v>317</v>
      </c>
    </row>
    <row r="117" spans="1:1">
      <c r="A117" t="s">
        <v>318</v>
      </c>
    </row>
    <row r="118" spans="1:1">
      <c r="A118" t="s">
        <v>319</v>
      </c>
    </row>
    <row r="119" spans="1:1">
      <c r="A119" t="s">
        <v>320</v>
      </c>
    </row>
    <row r="121" spans="1:1">
      <c r="A121" t="s">
        <v>321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E97-ACE7-48A3-B704-2470D14FDFFF}">
  <dimension ref="A1:E72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5"/>
  <cols>
    <col min="1" max="1" width="14.42578125" style="25" customWidth="1"/>
    <col min="2" max="2" width="13" customWidth="1"/>
    <col min="3" max="3" width="51.85546875" customWidth="1"/>
  </cols>
  <sheetData>
    <row r="1" spans="1:4" ht="15.75" thickBot="1">
      <c r="A1" s="29" t="s">
        <v>48</v>
      </c>
      <c r="B1" s="30" t="s">
        <v>49</v>
      </c>
      <c r="C1" s="30" t="s">
        <v>172</v>
      </c>
      <c r="D1" s="1"/>
    </row>
    <row r="2" spans="1:4">
      <c r="A2" s="31" t="s">
        <v>3</v>
      </c>
      <c r="B2" s="32" t="s">
        <v>0</v>
      </c>
      <c r="C2" s="32" t="s">
        <v>216</v>
      </c>
      <c r="D2" s="15"/>
    </row>
    <row r="3" spans="1:4">
      <c r="A3" s="27"/>
      <c r="B3" s="28" t="s">
        <v>1</v>
      </c>
      <c r="C3" s="28" t="s">
        <v>215</v>
      </c>
      <c r="D3" s="15"/>
    </row>
    <row r="4" spans="1:4">
      <c r="A4" s="31"/>
      <c r="B4" s="32" t="s">
        <v>2</v>
      </c>
      <c r="C4" s="32" t="s">
        <v>214</v>
      </c>
      <c r="D4" s="15"/>
    </row>
    <row r="5" spans="1:4" ht="15.75">
      <c r="A5" s="33" t="s">
        <v>6</v>
      </c>
      <c r="B5" s="105" t="s">
        <v>9</v>
      </c>
      <c r="C5" s="34" t="s">
        <v>174</v>
      </c>
      <c r="D5" s="15"/>
    </row>
    <row r="6" spans="1:4" ht="15.75">
      <c r="A6" s="35"/>
      <c r="B6" s="106" t="s">
        <v>10</v>
      </c>
      <c r="C6" s="36" t="s">
        <v>176</v>
      </c>
      <c r="D6" s="15"/>
    </row>
    <row r="7" spans="1:4" ht="15.75">
      <c r="A7" s="33"/>
      <c r="B7" s="105" t="s">
        <v>393</v>
      </c>
      <c r="C7" s="34" t="s">
        <v>510</v>
      </c>
      <c r="D7" s="15"/>
    </row>
    <row r="8" spans="1:4" ht="15.75">
      <c r="A8" s="35"/>
      <c r="B8" s="106" t="s">
        <v>7</v>
      </c>
      <c r="C8" s="36" t="s">
        <v>175</v>
      </c>
      <c r="D8" s="15"/>
    </row>
    <row r="9" spans="1:4" ht="15.75">
      <c r="A9" s="33"/>
      <c r="B9" s="105" t="s">
        <v>465</v>
      </c>
      <c r="C9" s="34" t="s">
        <v>511</v>
      </c>
      <c r="D9" s="15"/>
    </row>
    <row r="10" spans="1:4" ht="15.75">
      <c r="A10" s="35"/>
      <c r="B10" s="106" t="s">
        <v>5</v>
      </c>
      <c r="C10" s="36" t="s">
        <v>512</v>
      </c>
      <c r="D10" s="15"/>
    </row>
    <row r="11" spans="1:4" ht="15.75">
      <c r="A11" s="33"/>
      <c r="B11" s="105" t="s">
        <v>472</v>
      </c>
      <c r="C11" s="34" t="s">
        <v>518</v>
      </c>
      <c r="D11" s="15"/>
    </row>
    <row r="12" spans="1:4" ht="15.75">
      <c r="A12" s="35"/>
      <c r="B12" s="106" t="s">
        <v>394</v>
      </c>
      <c r="C12" s="36" t="s">
        <v>513</v>
      </c>
      <c r="D12" s="15"/>
    </row>
    <row r="13" spans="1:4" ht="15.75">
      <c r="A13" s="33"/>
      <c r="B13" s="105" t="s">
        <v>391</v>
      </c>
      <c r="C13" s="34" t="s">
        <v>514</v>
      </c>
      <c r="D13" s="15"/>
    </row>
    <row r="14" spans="1:4" ht="15.75">
      <c r="A14" s="35"/>
      <c r="B14" s="106" t="s">
        <v>4</v>
      </c>
      <c r="C14" s="36" t="s">
        <v>174</v>
      </c>
      <c r="D14" s="15"/>
    </row>
    <row r="15" spans="1:4" ht="15.75">
      <c r="A15" s="33"/>
      <c r="B15" s="105" t="s">
        <v>390</v>
      </c>
      <c r="C15" s="34" t="s">
        <v>515</v>
      </c>
      <c r="D15" s="15"/>
    </row>
    <row r="16" spans="1:4" ht="15.75">
      <c r="A16" s="35"/>
      <c r="B16" s="106" t="s">
        <v>47</v>
      </c>
      <c r="C16" s="36" t="s">
        <v>516</v>
      </c>
      <c r="D16" s="15"/>
    </row>
    <row r="17" spans="1:5" ht="15.75">
      <c r="A17" s="33"/>
      <c r="B17" s="105" t="s">
        <v>392</v>
      </c>
      <c r="C17" s="34" t="s">
        <v>517</v>
      </c>
      <c r="D17" s="15"/>
    </row>
    <row r="18" spans="1:5" ht="15.75">
      <c r="A18" s="35"/>
      <c r="B18" s="106" t="s">
        <v>11</v>
      </c>
      <c r="C18" s="36" t="s">
        <v>177</v>
      </c>
      <c r="D18" s="15"/>
    </row>
    <row r="19" spans="1:5">
      <c r="A19" s="37" t="s">
        <v>18</v>
      </c>
      <c r="B19" s="38" t="s">
        <v>0</v>
      </c>
      <c r="C19" s="38" t="s">
        <v>178</v>
      </c>
      <c r="D19" s="15"/>
    </row>
    <row r="20" spans="1:5">
      <c r="A20" s="39"/>
      <c r="B20" s="40" t="s">
        <v>12</v>
      </c>
      <c r="C20" s="40" t="s">
        <v>179</v>
      </c>
      <c r="D20" s="15"/>
    </row>
    <row r="21" spans="1:5">
      <c r="A21" s="37"/>
      <c r="B21" s="38" t="s">
        <v>13</v>
      </c>
      <c r="C21" s="38" t="s">
        <v>180</v>
      </c>
      <c r="D21" s="15"/>
      <c r="E21" s="2"/>
    </row>
    <row r="22" spans="1:5" ht="30">
      <c r="A22" s="39"/>
      <c r="B22" s="40" t="s">
        <v>14</v>
      </c>
      <c r="C22" s="40" t="s">
        <v>181</v>
      </c>
      <c r="D22" s="15"/>
    </row>
    <row r="23" spans="1:5">
      <c r="A23" s="41" t="s">
        <v>50</v>
      </c>
      <c r="B23" s="42" t="s">
        <v>37</v>
      </c>
      <c r="C23" s="42" t="s">
        <v>182</v>
      </c>
      <c r="D23" s="15"/>
    </row>
    <row r="24" spans="1:5" ht="30">
      <c r="A24" s="43"/>
      <c r="B24" s="44" t="s">
        <v>38</v>
      </c>
      <c r="C24" s="44" t="s">
        <v>183</v>
      </c>
      <c r="D24" s="15"/>
    </row>
    <row r="25" spans="1:5">
      <c r="A25" s="41"/>
      <c r="B25" s="42" t="s">
        <v>39</v>
      </c>
      <c r="C25" s="42" t="s">
        <v>184</v>
      </c>
      <c r="D25" s="15"/>
    </row>
    <row r="26" spans="1:5">
      <c r="A26" s="43"/>
      <c r="B26" s="44" t="s">
        <v>40</v>
      </c>
      <c r="C26" s="44" t="s">
        <v>185</v>
      </c>
      <c r="D26" s="15"/>
    </row>
    <row r="27" spans="1:5" ht="30">
      <c r="A27" s="45" t="s">
        <v>84</v>
      </c>
      <c r="B27" s="46" t="s">
        <v>15</v>
      </c>
      <c r="C27" s="46" t="s">
        <v>186</v>
      </c>
      <c r="D27" s="15"/>
    </row>
    <row r="28" spans="1:5">
      <c r="A28" s="47"/>
      <c r="B28" s="48" t="s">
        <v>16</v>
      </c>
      <c r="C28" s="48" t="s">
        <v>187</v>
      </c>
      <c r="D28" s="15"/>
    </row>
    <row r="29" spans="1:5">
      <c r="A29" s="45"/>
      <c r="B29" s="46" t="s">
        <v>17</v>
      </c>
      <c r="C29" s="46" t="s">
        <v>188</v>
      </c>
      <c r="D29" s="15"/>
    </row>
    <row r="30" spans="1:5" ht="45">
      <c r="A30" s="49" t="s">
        <v>89</v>
      </c>
      <c r="B30" s="50" t="s">
        <v>189</v>
      </c>
      <c r="C30" s="50" t="s">
        <v>190</v>
      </c>
      <c r="D30" s="15"/>
    </row>
    <row r="31" spans="1:5" ht="45">
      <c r="A31" s="47" t="s">
        <v>91</v>
      </c>
      <c r="B31" s="48" t="s">
        <v>189</v>
      </c>
      <c r="C31" s="48" t="s">
        <v>191</v>
      </c>
      <c r="D31" s="15"/>
    </row>
    <row r="32" spans="1:5" ht="45">
      <c r="A32" s="49" t="s">
        <v>93</v>
      </c>
      <c r="B32" s="50" t="s">
        <v>189</v>
      </c>
      <c r="C32" s="50" t="s">
        <v>192</v>
      </c>
      <c r="D32" s="15"/>
    </row>
    <row r="33" spans="1:4">
      <c r="A33" s="71" t="s">
        <v>23</v>
      </c>
      <c r="B33" s="72" t="s">
        <v>20</v>
      </c>
      <c r="C33" s="72" t="s">
        <v>193</v>
      </c>
      <c r="D33" s="15"/>
    </row>
    <row r="34" spans="1:4">
      <c r="A34" s="73"/>
      <c r="B34" s="74" t="s">
        <v>1</v>
      </c>
      <c r="C34" s="74" t="s">
        <v>194</v>
      </c>
      <c r="D34" s="15"/>
    </row>
    <row r="35" spans="1:4">
      <c r="A35" s="71"/>
      <c r="B35" s="72" t="s">
        <v>21</v>
      </c>
      <c r="C35" s="72" t="s">
        <v>195</v>
      </c>
      <c r="D35" s="15"/>
    </row>
    <row r="36" spans="1:4">
      <c r="A36" s="73"/>
      <c r="B36" s="74" t="s">
        <v>22</v>
      </c>
      <c r="C36" s="74" t="s">
        <v>196</v>
      </c>
      <c r="D36" s="15"/>
    </row>
    <row r="37" spans="1:4">
      <c r="A37" s="55" t="s">
        <v>27</v>
      </c>
      <c r="B37" s="56" t="s">
        <v>24</v>
      </c>
      <c r="C37" s="56" t="s">
        <v>197</v>
      </c>
      <c r="D37" s="15"/>
    </row>
    <row r="38" spans="1:4">
      <c r="A38" s="57"/>
      <c r="B38" s="58" t="s">
        <v>25</v>
      </c>
      <c r="C38" s="58" t="s">
        <v>198</v>
      </c>
      <c r="D38" s="15"/>
    </row>
    <row r="39" spans="1:4">
      <c r="A39" s="55"/>
      <c r="B39" s="56" t="s">
        <v>26</v>
      </c>
      <c r="C39" s="56" t="s">
        <v>199</v>
      </c>
      <c r="D39" s="15"/>
    </row>
    <row r="40" spans="1:4">
      <c r="A40" s="57"/>
      <c r="B40" s="58" t="s">
        <v>46</v>
      </c>
      <c r="C40" s="58" t="s">
        <v>200</v>
      </c>
      <c r="D40" s="15"/>
    </row>
    <row r="41" spans="1:4">
      <c r="A41" s="51" t="s">
        <v>31</v>
      </c>
      <c r="B41" s="52" t="s">
        <v>28</v>
      </c>
      <c r="C41" s="52" t="s">
        <v>201</v>
      </c>
      <c r="D41" s="15"/>
    </row>
    <row r="42" spans="1:4">
      <c r="A42" s="53"/>
      <c r="B42" s="54" t="s">
        <v>29</v>
      </c>
      <c r="C42" s="54" t="s">
        <v>202</v>
      </c>
      <c r="D42" s="15"/>
    </row>
    <row r="43" spans="1:4">
      <c r="A43" s="51"/>
      <c r="B43" s="52" t="s">
        <v>30</v>
      </c>
      <c r="C43" s="52" t="s">
        <v>203</v>
      </c>
      <c r="D43" s="15"/>
    </row>
    <row r="44" spans="1:4">
      <c r="A44" s="59" t="s">
        <v>45</v>
      </c>
      <c r="B44" s="60" t="s">
        <v>42</v>
      </c>
      <c r="C44" s="60" t="s">
        <v>204</v>
      </c>
      <c r="D44" s="15"/>
    </row>
    <row r="45" spans="1:4">
      <c r="A45" s="62"/>
      <c r="B45" s="61" t="s">
        <v>43</v>
      </c>
      <c r="C45" s="61" t="s">
        <v>205</v>
      </c>
      <c r="D45" s="15"/>
    </row>
    <row r="46" spans="1:4">
      <c r="A46" s="59"/>
      <c r="B46" s="60" t="s">
        <v>44</v>
      </c>
      <c r="C46" s="60" t="s">
        <v>206</v>
      </c>
      <c r="D46" s="15"/>
    </row>
    <row r="47" spans="1:4" ht="30">
      <c r="A47" s="63" t="s">
        <v>101</v>
      </c>
      <c r="B47" s="64" t="s">
        <v>173</v>
      </c>
      <c r="C47" s="64" t="s">
        <v>213</v>
      </c>
      <c r="D47" s="15"/>
    </row>
    <row r="48" spans="1:4" ht="30">
      <c r="A48" s="65" t="s">
        <v>102</v>
      </c>
      <c r="B48" s="66" t="s">
        <v>173</v>
      </c>
      <c r="C48" s="66" t="s">
        <v>207</v>
      </c>
      <c r="D48" s="15"/>
    </row>
    <row r="49" spans="1:4">
      <c r="A49" s="67" t="s">
        <v>208</v>
      </c>
      <c r="B49" s="68" t="s">
        <v>32</v>
      </c>
      <c r="C49" s="68" t="s">
        <v>209</v>
      </c>
      <c r="D49" s="15"/>
    </row>
    <row r="50" spans="1:4">
      <c r="A50" s="69"/>
      <c r="B50" s="70" t="s">
        <v>33</v>
      </c>
      <c r="C50" s="70" t="s">
        <v>210</v>
      </c>
      <c r="D50" s="15"/>
    </row>
    <row r="51" spans="1:4" ht="30">
      <c r="A51" s="67"/>
      <c r="B51" s="68" t="s">
        <v>34</v>
      </c>
      <c r="C51" s="68" t="s">
        <v>211</v>
      </c>
      <c r="D51" s="15"/>
    </row>
    <row r="52" spans="1:4" ht="30">
      <c r="A52" s="69"/>
      <c r="B52" s="70" t="s">
        <v>35</v>
      </c>
      <c r="C52" s="70" t="s">
        <v>212</v>
      </c>
      <c r="D52" s="15"/>
    </row>
    <row r="53" spans="1:4">
      <c r="A53" s="75" t="s">
        <v>220</v>
      </c>
      <c r="B53" s="76" t="s">
        <v>173</v>
      </c>
      <c r="C53" s="76" t="s">
        <v>229</v>
      </c>
      <c r="D53" s="15"/>
    </row>
    <row r="54" spans="1:4">
      <c r="B54" s="15"/>
      <c r="C54" s="15"/>
      <c r="D54" s="15"/>
    </row>
    <row r="55" spans="1:4">
      <c r="B55" s="15"/>
      <c r="C55" s="15"/>
      <c r="D55" s="15"/>
    </row>
    <row r="56" spans="1:4">
      <c r="B56" s="15"/>
      <c r="C56" s="15"/>
      <c r="D56" s="15"/>
    </row>
    <row r="57" spans="1:4">
      <c r="A57" s="26"/>
      <c r="B57" s="15"/>
      <c r="C57" s="15"/>
      <c r="D57" s="15"/>
    </row>
    <row r="58" spans="1:4">
      <c r="B58" s="15"/>
      <c r="C58" s="15"/>
      <c r="D58" s="15"/>
    </row>
    <row r="59" spans="1:4">
      <c r="B59" s="15"/>
      <c r="C59" s="15"/>
      <c r="D59" s="15"/>
    </row>
    <row r="60" spans="1:4">
      <c r="B60" s="15"/>
      <c r="C60" s="15"/>
      <c r="D60" s="15"/>
    </row>
    <row r="61" spans="1:4">
      <c r="A61" s="26"/>
      <c r="B61" s="15"/>
      <c r="C61" s="15"/>
      <c r="D61" s="15"/>
    </row>
    <row r="62" spans="1:4">
      <c r="B62" s="15"/>
      <c r="C62" s="15"/>
      <c r="D62" s="15"/>
    </row>
    <row r="63" spans="1:4">
      <c r="B63" s="15"/>
      <c r="C63" s="15"/>
      <c r="D63" s="15"/>
    </row>
    <row r="64" spans="1:4">
      <c r="A64" s="26"/>
      <c r="B64" s="15"/>
      <c r="C64" s="15"/>
      <c r="D64" s="15"/>
    </row>
    <row r="65" spans="1:4">
      <c r="B65" s="15"/>
      <c r="C65" s="15"/>
      <c r="D65" s="15"/>
    </row>
    <row r="66" spans="1:4">
      <c r="B66" s="15"/>
      <c r="C66" s="15"/>
      <c r="D66" s="15"/>
    </row>
    <row r="67" spans="1:4">
      <c r="A67" s="26"/>
      <c r="B67" s="15"/>
      <c r="C67" s="15"/>
      <c r="D67" s="15"/>
    </row>
    <row r="68" spans="1:4">
      <c r="A68" s="26"/>
      <c r="B68" s="15"/>
      <c r="C68" s="15"/>
      <c r="D68" s="15"/>
    </row>
    <row r="69" spans="1:4">
      <c r="A69" s="26"/>
      <c r="B69" s="15"/>
      <c r="C69" s="15"/>
      <c r="D69" s="15"/>
    </row>
    <row r="70" spans="1:4">
      <c r="B70" s="15"/>
      <c r="C70" s="15"/>
      <c r="D70" s="15"/>
    </row>
    <row r="71" spans="1:4">
      <c r="B71" s="15"/>
      <c r="C71" s="15"/>
      <c r="D71" s="15"/>
    </row>
    <row r="72" spans="1:4">
      <c r="B72" s="15"/>
      <c r="C72" s="15"/>
      <c r="D72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830D-D374-49D6-925B-80E87FA7547D}">
  <dimension ref="A1:D45"/>
  <sheetViews>
    <sheetView workbookViewId="0">
      <pane ySplit="1" topLeftCell="A2" activePane="bottomLeft" state="frozen"/>
      <selection pane="bottomLeft" activeCell="G17" sqref="G17"/>
    </sheetView>
  </sheetViews>
  <sheetFormatPr defaultRowHeight="15"/>
  <cols>
    <col min="1" max="1" width="20" style="25" customWidth="1"/>
    <col min="2" max="2" width="13" customWidth="1"/>
    <col min="3" max="3" width="51.85546875" customWidth="1"/>
  </cols>
  <sheetData>
    <row r="1" spans="1:4" ht="15.75" thickBot="1">
      <c r="A1" s="29" t="s">
        <v>48</v>
      </c>
      <c r="B1" s="30" t="s">
        <v>49</v>
      </c>
      <c r="C1" s="30" t="s">
        <v>172</v>
      </c>
      <c r="D1" s="1"/>
    </row>
    <row r="2" spans="1:4">
      <c r="A2" s="31" t="s">
        <v>240</v>
      </c>
      <c r="B2" s="32" t="s">
        <v>173</v>
      </c>
      <c r="C2" s="32" t="s">
        <v>263</v>
      </c>
      <c r="D2" s="15"/>
    </row>
    <row r="3" spans="1:4">
      <c r="A3" s="27" t="s">
        <v>63</v>
      </c>
      <c r="B3" s="28" t="s">
        <v>173</v>
      </c>
      <c r="C3" s="28" t="s">
        <v>322</v>
      </c>
      <c r="D3" s="15"/>
    </row>
    <row r="4" spans="1:4">
      <c r="A4" s="33" t="s">
        <v>66</v>
      </c>
      <c r="B4" s="34" t="s">
        <v>173</v>
      </c>
      <c r="C4" s="34" t="s">
        <v>323</v>
      </c>
      <c r="D4" s="15"/>
    </row>
    <row r="5" spans="1:4">
      <c r="A5" s="35" t="s">
        <v>238</v>
      </c>
      <c r="B5" s="36" t="s">
        <v>173</v>
      </c>
      <c r="C5" s="36" t="s">
        <v>324</v>
      </c>
      <c r="D5" s="15"/>
    </row>
    <row r="6" spans="1:4">
      <c r="A6" s="37" t="s">
        <v>248</v>
      </c>
      <c r="B6" s="38"/>
      <c r="C6" s="38" t="s">
        <v>325</v>
      </c>
      <c r="D6" s="15"/>
    </row>
    <row r="7" spans="1:4">
      <c r="A7" s="39" t="s">
        <v>237</v>
      </c>
      <c r="B7" s="40" t="s">
        <v>173</v>
      </c>
      <c r="C7" s="40" t="s">
        <v>326</v>
      </c>
      <c r="D7" s="15"/>
    </row>
    <row r="8" spans="1:4">
      <c r="A8" s="45" t="s">
        <v>236</v>
      </c>
      <c r="B8" s="46" t="s">
        <v>246</v>
      </c>
      <c r="C8" s="46" t="s">
        <v>327</v>
      </c>
      <c r="D8" s="15"/>
    </row>
    <row r="9" spans="1:4">
      <c r="A9" s="47"/>
      <c r="B9" s="48" t="s">
        <v>16</v>
      </c>
      <c r="C9" s="48" t="s">
        <v>328</v>
      </c>
      <c r="D9" s="15"/>
    </row>
    <row r="10" spans="1:4">
      <c r="A10" s="45"/>
      <c r="B10" s="46" t="s">
        <v>243</v>
      </c>
      <c r="C10" s="46" t="s">
        <v>329</v>
      </c>
      <c r="D10" s="15"/>
    </row>
    <row r="11" spans="1:4">
      <c r="A11" s="47" t="s">
        <v>235</v>
      </c>
      <c r="B11" s="87" t="s">
        <v>15</v>
      </c>
      <c r="C11" s="48" t="s">
        <v>330</v>
      </c>
      <c r="D11" s="15"/>
    </row>
    <row r="12" spans="1:4">
      <c r="A12" s="49"/>
      <c r="B12" s="50" t="s">
        <v>16</v>
      </c>
      <c r="C12" s="50" t="s">
        <v>333</v>
      </c>
      <c r="D12" s="15"/>
    </row>
    <row r="13" spans="1:4">
      <c r="A13" s="47"/>
      <c r="B13" s="48" t="s">
        <v>17</v>
      </c>
      <c r="C13" s="48" t="s">
        <v>334</v>
      </c>
      <c r="D13" s="15"/>
    </row>
    <row r="14" spans="1:4">
      <c r="A14" s="71" t="s">
        <v>234</v>
      </c>
      <c r="B14" s="72" t="s">
        <v>15</v>
      </c>
      <c r="C14" s="72" t="s">
        <v>335</v>
      </c>
      <c r="D14" s="15"/>
    </row>
    <row r="15" spans="1:4">
      <c r="A15" s="73"/>
      <c r="B15" s="74" t="s">
        <v>16</v>
      </c>
      <c r="C15" s="74" t="s">
        <v>331</v>
      </c>
      <c r="D15" s="15"/>
    </row>
    <row r="16" spans="1:4">
      <c r="A16" s="71"/>
      <c r="B16" s="72" t="s">
        <v>17</v>
      </c>
      <c r="C16" s="72" t="s">
        <v>332</v>
      </c>
      <c r="D16" s="15"/>
    </row>
    <row r="17" spans="1:4">
      <c r="A17" s="55" t="s">
        <v>233</v>
      </c>
      <c r="B17" s="56" t="s">
        <v>15</v>
      </c>
      <c r="C17" s="56" t="s">
        <v>336</v>
      </c>
      <c r="D17" s="15"/>
    </row>
    <row r="18" spans="1:4">
      <c r="A18" s="57"/>
      <c r="B18" s="58" t="s">
        <v>16</v>
      </c>
      <c r="C18" s="58" t="s">
        <v>337</v>
      </c>
      <c r="D18" s="15"/>
    </row>
    <row r="19" spans="1:4">
      <c r="A19" s="55"/>
      <c r="B19" s="56" t="s">
        <v>17</v>
      </c>
      <c r="C19" s="56" t="s">
        <v>338</v>
      </c>
      <c r="D19" s="15"/>
    </row>
    <row r="20" spans="1:4">
      <c r="A20" s="57" t="s">
        <v>232</v>
      </c>
      <c r="B20" s="58" t="s">
        <v>173</v>
      </c>
      <c r="C20" s="58" t="s">
        <v>339</v>
      </c>
      <c r="D20" s="15"/>
    </row>
    <row r="21" spans="1:4">
      <c r="A21" s="51" t="s">
        <v>292</v>
      </c>
      <c r="B21" s="52" t="s">
        <v>173</v>
      </c>
      <c r="C21" s="52" t="s">
        <v>340</v>
      </c>
      <c r="D21" s="15"/>
    </row>
    <row r="22" spans="1:4">
      <c r="A22" s="67" t="s">
        <v>230</v>
      </c>
      <c r="B22" s="68" t="s">
        <v>245</v>
      </c>
      <c r="C22" s="68" t="s">
        <v>341</v>
      </c>
      <c r="D22" s="15"/>
    </row>
    <row r="23" spans="1:4">
      <c r="A23" s="69"/>
      <c r="B23" s="70" t="s">
        <v>244</v>
      </c>
      <c r="C23" s="70" t="s">
        <v>342</v>
      </c>
      <c r="D23" s="15"/>
    </row>
    <row r="24" spans="1:4">
      <c r="A24" s="67"/>
      <c r="B24" s="68" t="s">
        <v>242</v>
      </c>
      <c r="C24" s="68" t="s">
        <v>343</v>
      </c>
      <c r="D24" s="15"/>
    </row>
    <row r="25" spans="1:4">
      <c r="A25" s="69"/>
      <c r="B25" s="70" t="s">
        <v>241</v>
      </c>
      <c r="C25" s="70" t="s">
        <v>344</v>
      </c>
      <c r="D25" s="15"/>
    </row>
    <row r="26" spans="1:4">
      <c r="A26" s="65" t="s">
        <v>249</v>
      </c>
      <c r="B26" s="66" t="s">
        <v>173</v>
      </c>
      <c r="C26" s="66" t="s">
        <v>345</v>
      </c>
      <c r="D26" s="15"/>
    </row>
    <row r="27" spans="1:4">
      <c r="B27" s="15"/>
      <c r="C27" s="15"/>
      <c r="D27" s="15"/>
    </row>
    <row r="28" spans="1:4">
      <c r="B28" s="15"/>
      <c r="C28" s="15"/>
      <c r="D28" s="15"/>
    </row>
    <row r="29" spans="1:4">
      <c r="B29" s="15"/>
      <c r="C29" s="15"/>
      <c r="D29" s="15"/>
    </row>
    <row r="30" spans="1:4">
      <c r="A30" s="26"/>
      <c r="B30" s="15"/>
      <c r="C30" s="15"/>
      <c r="D30" s="15"/>
    </row>
    <row r="31" spans="1:4">
      <c r="B31" s="15"/>
      <c r="C31" s="15"/>
      <c r="D31" s="15"/>
    </row>
    <row r="32" spans="1:4">
      <c r="B32" s="15"/>
      <c r="C32" s="15"/>
      <c r="D32" s="15"/>
    </row>
    <row r="33" spans="1:4">
      <c r="B33" s="15"/>
      <c r="C33" s="15"/>
      <c r="D33" s="15"/>
    </row>
    <row r="34" spans="1:4">
      <c r="A34" s="26"/>
      <c r="B34" s="15"/>
      <c r="C34" s="15"/>
      <c r="D34" s="15"/>
    </row>
    <row r="35" spans="1:4">
      <c r="B35" s="15"/>
      <c r="C35" s="15"/>
      <c r="D35" s="15"/>
    </row>
    <row r="36" spans="1:4">
      <c r="B36" s="15"/>
      <c r="C36" s="15"/>
      <c r="D36" s="15"/>
    </row>
    <row r="37" spans="1:4">
      <c r="A37" s="26"/>
      <c r="B37" s="15"/>
      <c r="C37" s="15"/>
      <c r="D37" s="15"/>
    </row>
    <row r="38" spans="1:4">
      <c r="B38" s="15"/>
      <c r="C38" s="15"/>
      <c r="D38" s="15"/>
    </row>
    <row r="39" spans="1:4">
      <c r="B39" s="15"/>
      <c r="C39" s="15"/>
      <c r="D39" s="15"/>
    </row>
    <row r="40" spans="1:4">
      <c r="A40" s="26"/>
      <c r="B40" s="15"/>
      <c r="C40" s="15"/>
      <c r="D40" s="15"/>
    </row>
    <row r="41" spans="1:4">
      <c r="A41" s="26"/>
      <c r="B41" s="15"/>
      <c r="C41" s="15"/>
      <c r="D41" s="15"/>
    </row>
    <row r="42" spans="1:4">
      <c r="A42" s="26"/>
      <c r="B42" s="15"/>
      <c r="C42" s="15"/>
      <c r="D42" s="15"/>
    </row>
    <row r="43" spans="1:4">
      <c r="B43" s="15"/>
      <c r="C43" s="15"/>
      <c r="D43" s="15"/>
    </row>
    <row r="44" spans="1:4">
      <c r="B44" s="15"/>
      <c r="C44" s="15"/>
      <c r="D44" s="15"/>
    </row>
    <row r="45" spans="1:4">
      <c r="B45" s="15"/>
      <c r="C45" s="15"/>
      <c r="D45" s="15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3CB6-D563-47CE-8E28-1BE1AA8530E8}">
  <dimension ref="A1:J15"/>
  <sheetViews>
    <sheetView workbookViewId="0">
      <selection activeCell="B2" sqref="B2:B15"/>
    </sheetView>
  </sheetViews>
  <sheetFormatPr defaultRowHeight="15"/>
  <cols>
    <col min="1" max="9" width="13.5703125" customWidth="1"/>
    <col min="10" max="10" width="16.7109375" customWidth="1"/>
  </cols>
  <sheetData>
    <row r="1" spans="1:10">
      <c r="A1" t="s">
        <v>3</v>
      </c>
      <c r="B1" t="s">
        <v>6</v>
      </c>
      <c r="C1" t="s">
        <v>18</v>
      </c>
      <c r="D1" t="s">
        <v>41</v>
      </c>
      <c r="E1" t="s">
        <v>19</v>
      </c>
      <c r="F1" t="s">
        <v>23</v>
      </c>
      <c r="G1" t="s">
        <v>27</v>
      </c>
      <c r="H1" t="s">
        <v>31</v>
      </c>
      <c r="I1" t="s">
        <v>45</v>
      </c>
      <c r="J1" t="s">
        <v>36</v>
      </c>
    </row>
    <row r="2" spans="1:10" ht="15.75">
      <c r="A2" t="s">
        <v>0</v>
      </c>
      <c r="B2" s="5" t="s">
        <v>9</v>
      </c>
      <c r="C2" t="s">
        <v>0</v>
      </c>
      <c r="D2" t="s">
        <v>37</v>
      </c>
      <c r="E2" t="s">
        <v>15</v>
      </c>
      <c r="F2" t="s">
        <v>20</v>
      </c>
      <c r="G2" t="s">
        <v>24</v>
      </c>
      <c r="H2" t="s">
        <v>28</v>
      </c>
      <c r="I2" t="s">
        <v>42</v>
      </c>
      <c r="J2" t="s">
        <v>32</v>
      </c>
    </row>
    <row r="3" spans="1:10" ht="15.75">
      <c r="A3" t="s">
        <v>1</v>
      </c>
      <c r="B3" s="5" t="s">
        <v>10</v>
      </c>
      <c r="C3" t="s">
        <v>12</v>
      </c>
      <c r="D3" t="s">
        <v>38</v>
      </c>
      <c r="E3" t="s">
        <v>16</v>
      </c>
      <c r="F3" t="s">
        <v>1</v>
      </c>
      <c r="G3" t="s">
        <v>25</v>
      </c>
      <c r="H3" t="s">
        <v>29</v>
      </c>
      <c r="I3" t="s">
        <v>43</v>
      </c>
      <c r="J3" t="s">
        <v>33</v>
      </c>
    </row>
    <row r="4" spans="1:10" ht="15.75">
      <c r="A4" t="s">
        <v>2</v>
      </c>
      <c r="B4" s="5" t="s">
        <v>393</v>
      </c>
      <c r="C4" t="s">
        <v>13</v>
      </c>
      <c r="D4" t="s">
        <v>39</v>
      </c>
      <c r="E4" t="s">
        <v>17</v>
      </c>
      <c r="F4" t="s">
        <v>21</v>
      </c>
      <c r="G4" t="s">
        <v>26</v>
      </c>
      <c r="H4" t="s">
        <v>30</v>
      </c>
      <c r="I4" t="s">
        <v>44</v>
      </c>
      <c r="J4" t="s">
        <v>34</v>
      </c>
    </row>
    <row r="5" spans="1:10" ht="15.75">
      <c r="B5" s="5" t="s">
        <v>7</v>
      </c>
      <c r="C5" t="s">
        <v>14</v>
      </c>
      <c r="D5" t="s">
        <v>40</v>
      </c>
      <c r="F5" t="s">
        <v>22</v>
      </c>
      <c r="G5" t="s">
        <v>46</v>
      </c>
      <c r="J5" t="s">
        <v>35</v>
      </c>
    </row>
    <row r="6" spans="1:10" ht="15.75">
      <c r="B6" s="5" t="s">
        <v>465</v>
      </c>
    </row>
    <row r="7" spans="1:10" ht="15.75">
      <c r="B7" s="5" t="s">
        <v>5</v>
      </c>
    </row>
    <row r="8" spans="1:10" ht="15.75">
      <c r="B8" s="5" t="s">
        <v>472</v>
      </c>
    </row>
    <row r="9" spans="1:10" ht="15.75">
      <c r="B9" s="5" t="s">
        <v>394</v>
      </c>
    </row>
    <row r="10" spans="1:10" ht="15.75">
      <c r="B10" s="5" t="s">
        <v>391</v>
      </c>
    </row>
    <row r="11" spans="1:10" ht="15.75">
      <c r="B11" s="5" t="s">
        <v>4</v>
      </c>
    </row>
    <row r="12" spans="1:10" ht="15.75">
      <c r="B12" s="5" t="s">
        <v>390</v>
      </c>
    </row>
    <row r="13" spans="1:10" ht="15.75">
      <c r="B13" s="5" t="s">
        <v>47</v>
      </c>
    </row>
    <row r="14" spans="1:10" ht="15.75">
      <c r="B14" s="5" t="s">
        <v>392</v>
      </c>
    </row>
    <row r="15" spans="1:10" ht="15.75">
      <c r="B15" s="5" t="s">
        <v>11</v>
      </c>
    </row>
  </sheetData>
  <pageMargins left="0.7" right="0.7" top="0.78740157499999996" bottom="0.78740157499999996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74D7-0497-4914-A705-B648A26A2ABE}">
  <dimension ref="A1:C5"/>
  <sheetViews>
    <sheetView workbookViewId="0">
      <selection activeCell="I32" sqref="I32"/>
    </sheetView>
  </sheetViews>
  <sheetFormatPr defaultColWidth="12.42578125" defaultRowHeight="15"/>
  <sheetData>
    <row r="1" spans="1:3">
      <c r="A1" t="s">
        <v>32</v>
      </c>
      <c r="B1" t="s">
        <v>236</v>
      </c>
      <c r="C1" t="s">
        <v>230</v>
      </c>
    </row>
    <row r="2" spans="1:3">
      <c r="A2" t="s">
        <v>15</v>
      </c>
      <c r="B2" t="s">
        <v>246</v>
      </c>
      <c r="C2" t="s">
        <v>245</v>
      </c>
    </row>
    <row r="3" spans="1:3">
      <c r="A3" t="s">
        <v>16</v>
      </c>
      <c r="B3" t="s">
        <v>16</v>
      </c>
      <c r="C3" t="s">
        <v>244</v>
      </c>
    </row>
    <row r="4" spans="1:3">
      <c r="A4" t="s">
        <v>17</v>
      </c>
      <c r="B4" t="s">
        <v>243</v>
      </c>
      <c r="C4" t="s">
        <v>242</v>
      </c>
    </row>
    <row r="5" spans="1:3">
      <c r="C5" t="s">
        <v>241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1EF8-DB19-405A-AD07-483C7E73FA8C}">
  <dimension ref="A1:D4"/>
  <sheetViews>
    <sheetView workbookViewId="0">
      <selection sqref="A1:D4"/>
    </sheetView>
  </sheetViews>
  <sheetFormatPr defaultRowHeight="15"/>
  <sheetData>
    <row r="1" spans="1:4" ht="60">
      <c r="A1" s="1" t="s">
        <v>247</v>
      </c>
      <c r="B1" s="1" t="s">
        <v>15</v>
      </c>
      <c r="C1" s="1" t="s">
        <v>16</v>
      </c>
      <c r="D1" s="1" t="s">
        <v>17</v>
      </c>
    </row>
    <row r="2" spans="1:4">
      <c r="A2" s="15" t="s">
        <v>246</v>
      </c>
      <c r="B2" s="15" t="s">
        <v>15</v>
      </c>
      <c r="C2" s="15" t="s">
        <v>15</v>
      </c>
      <c r="D2" s="15" t="s">
        <v>16</v>
      </c>
    </row>
    <row r="3" spans="1:4">
      <c r="A3" s="15" t="s">
        <v>16</v>
      </c>
      <c r="B3" s="15" t="s">
        <v>15</v>
      </c>
      <c r="C3" s="15" t="s">
        <v>16</v>
      </c>
      <c r="D3" s="15" t="s">
        <v>17</v>
      </c>
    </row>
    <row r="4" spans="1:4">
      <c r="A4" s="15" t="s">
        <v>243</v>
      </c>
      <c r="B4" s="15" t="s">
        <v>16</v>
      </c>
      <c r="C4" s="15" t="s">
        <v>17</v>
      </c>
      <c r="D4" s="15" t="s">
        <v>17</v>
      </c>
    </row>
  </sheetData>
  <sheetProtection selectLockedCell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26</vt:i4>
      </vt:variant>
    </vt:vector>
  </HeadingPairs>
  <TitlesOfParts>
    <vt:vector size="35" baseType="lpstr">
      <vt:lpstr>Asset Register</vt:lpstr>
      <vt:lpstr>Risk Register</vt:lpstr>
      <vt:lpstr>Instrukce-AR</vt:lpstr>
      <vt:lpstr>Instrukce-RR</vt:lpstr>
      <vt:lpstr>Legenda_AR</vt:lpstr>
      <vt:lpstr>Legenda_RR</vt:lpstr>
      <vt:lpstr>Číselníky-AR</vt:lpstr>
      <vt:lpstr>Číselníky-RR</vt:lpstr>
      <vt:lpstr>_RiskMatrix</vt:lpstr>
      <vt:lpstr>Legenda_RR!Aktualizace</vt:lpstr>
      <vt:lpstr>Aktualizace</vt:lpstr>
      <vt:lpstr>Legenda_RR!CIA</vt:lpstr>
      <vt:lpstr>CIA</vt:lpstr>
      <vt:lpstr>Legenda_RR!Dopad</vt:lpstr>
      <vt:lpstr>Dopad</vt:lpstr>
      <vt:lpstr>Legenda_RR!Kategorie</vt:lpstr>
      <vt:lpstr>Kategorie</vt:lpstr>
      <vt:lpstr>Legenda_RR!Oddělení</vt:lpstr>
      <vt:lpstr>Oddělení</vt:lpstr>
      <vt:lpstr>Legenda_RR!Přístup</vt:lpstr>
      <vt:lpstr>Přístup</vt:lpstr>
      <vt:lpstr>Legenda_RR!Riziko</vt:lpstr>
      <vt:lpstr>Riziko</vt:lpstr>
      <vt:lpstr>Legenda_RR!Síť</vt:lpstr>
      <vt:lpstr>Síť</vt:lpstr>
      <vt:lpstr>Legenda_RR!Stav</vt:lpstr>
      <vt:lpstr>Stav</vt:lpstr>
      <vt:lpstr>Legenda_RR!StavAktiva</vt:lpstr>
      <vt:lpstr>StavAktiva</vt:lpstr>
      <vt:lpstr>Legenda_RR!TypAktiva</vt:lpstr>
      <vt:lpstr>TypAktiva</vt:lpstr>
      <vt:lpstr>Legenda_RR!TypPoznámky</vt:lpstr>
      <vt:lpstr>TypPoznámky</vt:lpstr>
      <vt:lpstr>Legenda_RR!Zálohování</vt:lpstr>
      <vt:lpstr>Zálohování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Čornej</dc:creator>
  <cp:lastModifiedBy>Michal Čornej</cp:lastModifiedBy>
  <cp:lastPrinted>2026-01-12T09:03:08Z</cp:lastPrinted>
  <dcterms:created xsi:type="dcterms:W3CDTF">2025-12-15T19:20:21Z</dcterms:created>
  <dcterms:modified xsi:type="dcterms:W3CDTF">2026-01-21T10:21:12Z</dcterms:modified>
</cp:coreProperties>
</file>